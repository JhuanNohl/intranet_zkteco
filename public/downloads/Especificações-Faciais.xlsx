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ficações faciais-H" sheetId="1" r:id="rId5"/>
    <sheet state="visible" name="Datasheet" sheetId="2" r:id="rId6"/>
    <sheet state="visible" name="Z-ID" sheetId="3" r:id="rId7"/>
    <sheet state="visible" name="Validação" sheetId="4" r:id="rId8"/>
    <sheet state="visible" name="Especificações faciais-V" sheetId="5" r:id="rId9"/>
    <sheet state="visible" name="TR (em construção - 2)" sheetId="6" r:id="rId10"/>
    <sheet state="hidden" name="TR (em construção)" sheetId="7" r:id="rId11"/>
  </sheets>
  <definedNames>
    <definedName hidden="1" localSheetId="4" name="_xlnm._FilterDatabase">'Especificações faciais-V'!$A$2:$DM$18</definedName>
  </definedNames>
  <calcPr/>
</workbook>
</file>

<file path=xl/sharedStrings.xml><?xml version="1.0" encoding="utf-8"?>
<sst xmlns="http://schemas.openxmlformats.org/spreadsheetml/2006/main" count="3544" uniqueCount="756">
  <si>
    <t>Especificações Faciais:
REV 10 - 22/08/2025 - Juliano</t>
  </si>
  <si>
    <t>Especificações Técnicas</t>
  </si>
  <si>
    <t>SpeedFace V5L</t>
  </si>
  <si>
    <t>SpeedFace M4</t>
  </si>
  <si>
    <t>SpeedFace V4L</t>
  </si>
  <si>
    <t>SpeedFace V4L Pro</t>
  </si>
  <si>
    <t>SpeedFace V3L Lite</t>
  </si>
  <si>
    <t>FaceDepot 7BL</t>
  </si>
  <si>
    <t>ProMA</t>
  </si>
  <si>
    <t>ProMA-QR</t>
  </si>
  <si>
    <t>ProMA-RF</t>
  </si>
  <si>
    <t>Proface X [P]</t>
  </si>
  <si>
    <t>Proface X [SL]</t>
  </si>
  <si>
    <t>Proface X [DS]</t>
  </si>
  <si>
    <t>SenseFace 7A</t>
  </si>
  <si>
    <t>SenseFace 4A</t>
  </si>
  <si>
    <t>SenseFace 3A</t>
  </si>
  <si>
    <t>SenseFace 2A</t>
  </si>
  <si>
    <t>Documentos</t>
  </si>
  <si>
    <t>Status do produto no Brasil</t>
  </si>
  <si>
    <t>Ativo</t>
  </si>
  <si>
    <t>Phase Out</t>
  </si>
  <si>
    <t>Roadmap 2025</t>
  </si>
  <si>
    <t>Descontinuado</t>
  </si>
  <si>
    <t>Não comercializado</t>
  </si>
  <si>
    <t>Site China</t>
  </si>
  <si>
    <r>
      <rPr>
        <rFont val="Calibri, sans-serif"/>
        <color rgb="FF1155CC"/>
        <sz val="11.0"/>
        <u/>
      </rPr>
      <t>https://x.gd/WVHGK</t>
    </r>
  </si>
  <si>
    <r>
      <rPr>
        <rFont val="Calibri, sans-serif"/>
        <color rgb="FF1155CC"/>
        <sz val="11.0"/>
        <u/>
      </rPr>
      <t>https://x.gd/saNe2Y</t>
    </r>
  </si>
  <si>
    <r>
      <rPr>
        <rFont val="Calibri, sans-serif"/>
        <color rgb="FF1155CC"/>
        <sz val="11.0"/>
        <u/>
      </rPr>
      <t>https://x.gd/nQW3p</t>
    </r>
  </si>
  <si>
    <r>
      <rPr>
        <rFont val="Calibri, sans-serif"/>
        <color rgb="FF1155CC"/>
        <sz val="11.0"/>
        <u/>
      </rPr>
      <t>https://x.gd/fnC7z</t>
    </r>
  </si>
  <si>
    <r>
      <rPr>
        <rFont val="Calibri, sans-serif"/>
        <color rgb="FF1155CC"/>
        <sz val="11.0"/>
        <u/>
      </rPr>
      <t>https://x.gd/P36FG</t>
    </r>
  </si>
  <si>
    <r>
      <rPr>
        <rFont val="Calibri, sans-serif"/>
        <color rgb="FF1155CC"/>
        <sz val="11.0"/>
        <u/>
      </rPr>
      <t>https://x.gd/RsiME</t>
    </r>
  </si>
  <si>
    <r>
      <rPr>
        <rFont val="Calibri, sans-serif"/>
        <color rgb="FF1155CC"/>
        <sz val="11.0"/>
        <u/>
      </rPr>
      <t>https://x.gd/dUU6Q</t>
    </r>
  </si>
  <si>
    <r>
      <rPr>
        <rFont val="Calibri, sans-serif"/>
        <color rgb="FF1155CC"/>
        <sz val="11.0"/>
        <u/>
      </rPr>
      <t>https://x.gd/GzN3O</t>
    </r>
  </si>
  <si>
    <r>
      <rPr>
        <rFont val="Calibri, sans-serif"/>
        <color rgb="FF1155CC"/>
        <sz val="11.0"/>
        <u/>
      </rPr>
      <t>https://x.gd/CyiTH</t>
    </r>
  </si>
  <si>
    <r>
      <rPr>
        <rFont val="Calibri, sans-serif"/>
        <color rgb="FF1155CC"/>
        <sz val="11.0"/>
        <u/>
      </rPr>
      <t>https://x.gd/dfTkm</t>
    </r>
  </si>
  <si>
    <r>
      <rPr>
        <rFont val="Calibri, sans-serif"/>
        <color rgb="FF1155CC"/>
        <sz val="11.0"/>
        <u/>
      </rPr>
      <t>https://x.gd/7kv9n</t>
    </r>
  </si>
  <si>
    <r>
      <rPr>
        <rFont val="Calibri, sans-serif"/>
        <color rgb="FF1155CC"/>
        <sz val="11.0"/>
        <u/>
      </rPr>
      <t>https://x.gd/qhlEE</t>
    </r>
  </si>
  <si>
    <r>
      <rPr>
        <rFont val="Calibri, sans-serif"/>
        <color rgb="FF1155CC"/>
        <sz val="11.0"/>
        <u/>
      </rPr>
      <t>https://x.gd/k4Zlp</t>
    </r>
  </si>
  <si>
    <r>
      <rPr>
        <rFont val="Calibri, sans-serif"/>
        <color rgb="FF1155CC"/>
        <sz val="11.0"/>
        <u/>
      </rPr>
      <t>https://x.gd/JYIS6</t>
    </r>
  </si>
  <si>
    <r>
      <rPr>
        <rFont val="Calibri, sans-serif"/>
        <color rgb="FF1155CC"/>
        <sz val="11.0"/>
        <u/>
      </rPr>
      <t>https://x.gd/sHSX0</t>
    </r>
  </si>
  <si>
    <r>
      <rPr>
        <rFont val="Calibri, sans-serif"/>
        <color rgb="FF1155CC"/>
        <sz val="11.0"/>
        <u/>
      </rPr>
      <t>https://x.gd/ozfng</t>
    </r>
  </si>
  <si>
    <t>Datasheet China</t>
  </si>
  <si>
    <r>
      <rPr>
        <rFont val="Calibri, sans-serif"/>
        <color rgb="FF1155CC"/>
        <sz val="11.0"/>
        <u/>
      </rPr>
      <t>https://x.gd/LexWe</t>
    </r>
  </si>
  <si>
    <r>
      <rPr>
        <rFont val="Calibri, sans-serif"/>
        <color rgb="FF1155CC"/>
        <sz val="11.0"/>
        <u/>
      </rPr>
      <t>https://x.gd/aWOqN</t>
    </r>
  </si>
  <si>
    <r>
      <rPr>
        <rFont val="Calibri, sans-serif"/>
        <color rgb="FF1155CC"/>
        <sz val="11.0"/>
        <u/>
      </rPr>
      <t>https://x.gd/pOCoD</t>
    </r>
  </si>
  <si>
    <r>
      <rPr>
        <rFont val="Calibri, sans-serif"/>
        <color rgb="FF1155CC"/>
        <sz val="11.0"/>
        <u/>
      </rPr>
      <t>https://x.gd/0pOCn</t>
    </r>
  </si>
  <si>
    <r>
      <rPr>
        <rFont val="Calibri, sans-serif"/>
        <color rgb="FF1155CC"/>
        <sz val="11.0"/>
        <u/>
      </rPr>
      <t>https://x.gd/hr4vD</t>
    </r>
  </si>
  <si>
    <r>
      <rPr>
        <rFont val="Calibri, sans-serif"/>
        <color rgb="FF1155CC"/>
        <sz val="11.0"/>
        <u/>
      </rPr>
      <t>https://x.gd/3pALb</t>
    </r>
  </si>
  <si>
    <r>
      <rPr>
        <rFont val="Calibri, sans-serif"/>
        <color rgb="FF1155CC"/>
        <sz val="11.0"/>
        <u/>
      </rPr>
      <t>https://x.gd/hN3J9</t>
    </r>
  </si>
  <si>
    <r>
      <rPr>
        <rFont val="Calibri, sans-serif"/>
        <color rgb="FF1155CC"/>
        <sz val="11.0"/>
        <u/>
      </rPr>
      <t>https://x.gd/AxN2g</t>
    </r>
  </si>
  <si>
    <r>
      <rPr>
        <rFont val="Calibri, sans-serif"/>
        <color rgb="FF1155CC"/>
        <sz val="11.0"/>
        <u/>
      </rPr>
      <t>https://x.gd/lseLK</t>
    </r>
  </si>
  <si>
    <r>
      <rPr>
        <rFont val="Calibri, sans-serif"/>
        <color rgb="FF1155CC"/>
        <sz val="11.0"/>
        <u/>
      </rPr>
      <t>https://x.gd/yvtVL</t>
    </r>
  </si>
  <si>
    <r>
      <rPr>
        <rFont val="Calibri, sans-serif"/>
        <color rgb="FF1155CC"/>
        <sz val="11.0"/>
        <u/>
      </rPr>
      <t>https://x.gd/lZ6KH</t>
    </r>
  </si>
  <si>
    <r>
      <rPr>
        <rFont val="Calibri, sans-serif"/>
        <color rgb="FF1155CC"/>
        <sz val="11.0"/>
        <u/>
      </rPr>
      <t>https://x.gd/NHkVf</t>
    </r>
  </si>
  <si>
    <r>
      <rPr>
        <rFont val="Calibri, sans-serif"/>
        <color rgb="FF1155CC"/>
        <sz val="11.0"/>
        <u/>
      </rPr>
      <t>https://x.gd/WU2sm</t>
    </r>
  </si>
  <si>
    <r>
      <rPr>
        <rFont val="Calibri, sans-serif"/>
        <color rgb="FF1155CC"/>
        <sz val="11.0"/>
        <u/>
      </rPr>
      <t>https://x.gd/kGDgP</t>
    </r>
  </si>
  <si>
    <r>
      <rPr>
        <rFont val="Calibri, sans-serif"/>
        <color rgb="FF1155CC"/>
        <sz val="11.0"/>
        <u/>
      </rPr>
      <t>https://x.gd/aCMMK</t>
    </r>
  </si>
  <si>
    <r>
      <rPr>
        <rFont val="Calibri, sans-serif"/>
        <color rgb="FF1155CC"/>
        <sz val="11.0"/>
        <u/>
      </rPr>
      <t>https://x.gd/sa2G4</t>
    </r>
  </si>
  <si>
    <t>Guia Rápido China</t>
  </si>
  <si>
    <r>
      <rPr>
        <rFont val="Calibri, sans-serif"/>
        <color rgb="FF1155CC"/>
        <sz val="11.0"/>
        <u/>
      </rPr>
      <t>https://x.gd/Xsi6U</t>
    </r>
  </si>
  <si>
    <r>
      <rPr>
        <rFont val="Calibri, sans-serif"/>
        <color rgb="FF1155CC"/>
        <sz val="11.0"/>
        <u/>
      </rPr>
      <t>https://x.gd/tPlTS</t>
    </r>
  </si>
  <si>
    <r>
      <rPr>
        <rFont val="Calibri, sans-serif"/>
        <color rgb="FF1155CC"/>
        <sz val="11.0"/>
        <u/>
      </rPr>
      <t>https://x.gd/7qaCQ</t>
    </r>
  </si>
  <si>
    <r>
      <rPr>
        <rFont val="Calibri, sans-serif"/>
        <color rgb="FF1155CC"/>
        <sz val="11.0"/>
        <u/>
      </rPr>
      <t>https://x.gd/wRgAe</t>
    </r>
  </si>
  <si>
    <r>
      <rPr>
        <rFont val="Calibri, sans-serif"/>
        <color rgb="FF1155CC"/>
        <sz val="11.0"/>
        <u/>
      </rPr>
      <t>https://x.gd/oB5oH</t>
    </r>
  </si>
  <si>
    <r>
      <rPr>
        <rFont val="Calibri, sans-serif"/>
        <color rgb="FF1155CC"/>
        <sz val="11.0"/>
        <u/>
      </rPr>
      <t>https://x.gd/dphkr</t>
    </r>
  </si>
  <si>
    <r>
      <rPr>
        <rFont val="Calibri, sans-serif"/>
        <color rgb="FF1155CC"/>
        <sz val="11.0"/>
        <u/>
      </rPr>
      <t>https://x.gd/d5M177</t>
    </r>
  </si>
  <si>
    <r>
      <rPr>
        <rFont val="Calibri, sans-serif"/>
        <color rgb="FF1155CC"/>
        <sz val="11.0"/>
        <u/>
      </rPr>
      <t>https://x.gd/I6pbP</t>
    </r>
  </si>
  <si>
    <r>
      <rPr>
        <rFont val="Calibri, sans-serif"/>
        <color rgb="FF1155CC"/>
        <sz val="11.0"/>
        <u/>
      </rPr>
      <t>https://x.gd/c3pAX</t>
    </r>
  </si>
  <si>
    <r>
      <rPr>
        <rFont val="Calibri, sans-serif"/>
        <color rgb="FF1155CC"/>
        <sz val="11.0"/>
        <u/>
      </rPr>
      <t>https://x.gd/sLOJQ</t>
    </r>
  </si>
  <si>
    <r>
      <rPr>
        <rFont val="Calibri, sans-serif"/>
        <color rgb="FF1155CC"/>
        <sz val="11.0"/>
        <u/>
      </rPr>
      <t>https://x.gd/SGZhM</t>
    </r>
  </si>
  <si>
    <r>
      <rPr>
        <rFont val="Calibri, sans-serif"/>
        <color rgb="FF1155CC"/>
        <sz val="11.0"/>
        <u/>
      </rPr>
      <t>https://x.gd/KNYpG</t>
    </r>
  </si>
  <si>
    <r>
      <rPr>
        <rFont val="Calibri, sans-serif"/>
        <color rgb="FF1155CC"/>
        <sz val="11.0"/>
        <u/>
      </rPr>
      <t>https://x.gd/schbV</t>
    </r>
  </si>
  <si>
    <r>
      <rPr>
        <rFont val="Calibri, sans-serif"/>
        <color rgb="FF1155CC"/>
        <sz val="11.0"/>
        <u/>
      </rPr>
      <t>https://x.gd/ZDG6o</t>
    </r>
  </si>
  <si>
    <r>
      <rPr>
        <rFont val="Calibri, sans-serif"/>
        <color rgb="FF1155CC"/>
        <sz val="11.0"/>
        <u/>
      </rPr>
      <t>https://x.gd/XjsGH</t>
    </r>
  </si>
  <si>
    <t>Manual do Usuário China</t>
  </si>
  <si>
    <r>
      <rPr>
        <rFont val="Calibri, sans-serif"/>
        <color rgb="FF1155CC"/>
        <sz val="11.0"/>
        <u/>
      </rPr>
      <t>https://x.gd/UoHyj</t>
    </r>
  </si>
  <si>
    <r>
      <rPr>
        <rFont val="Calibri, sans-serif"/>
        <color rgb="FF1155CC"/>
        <sz val="11.0"/>
        <u/>
      </rPr>
      <t>https://x.gd/dy6cC</t>
    </r>
  </si>
  <si>
    <r>
      <rPr>
        <rFont val="Calibri, sans-serif"/>
        <color rgb="FF1155CC"/>
        <sz val="11.0"/>
        <u/>
      </rPr>
      <t>https://x.gd/c4FKA</t>
    </r>
  </si>
  <si>
    <r>
      <rPr>
        <rFont val="Calibri, sans-serif"/>
        <color rgb="FF1155CC"/>
        <sz val="11.0"/>
        <u/>
      </rPr>
      <t>https://x.gd/HDrro</t>
    </r>
  </si>
  <si>
    <r>
      <rPr>
        <rFont val="Calibri, sans-serif"/>
        <color rgb="FF1155CC"/>
        <sz val="11.0"/>
        <u/>
      </rPr>
      <t>https://x.gd/r3FYG</t>
    </r>
  </si>
  <si>
    <r>
      <rPr>
        <rFont val="Calibri, sans-serif"/>
        <color rgb="FF1155CC"/>
        <sz val="11.0"/>
        <u/>
      </rPr>
      <t>https://x.gd/TeNS4</t>
    </r>
  </si>
  <si>
    <r>
      <rPr>
        <rFont val="Calibri, sans-serif"/>
        <color rgb="FF1155CC"/>
        <sz val="11.0"/>
        <u/>
      </rPr>
      <t>https://x.gd/f9n6w</t>
    </r>
  </si>
  <si>
    <r>
      <rPr>
        <rFont val="Calibri, sans-serif"/>
        <color rgb="FF1155CC"/>
        <sz val="11.0"/>
        <u/>
      </rPr>
      <t>https://x.gd/QWTKH</t>
    </r>
  </si>
  <si>
    <r>
      <rPr>
        <rFont val="Calibri, sans-serif"/>
        <color rgb="FF1155CC"/>
        <sz val="11.0"/>
        <u/>
      </rPr>
      <t>https://x.gd/mseG6</t>
    </r>
  </si>
  <si>
    <r>
      <rPr>
        <rFont val="Calibri, sans-serif"/>
        <color rgb="FF1155CC"/>
        <sz val="11.0"/>
        <u/>
      </rPr>
      <t>https://x.gd/l8RJO</t>
    </r>
  </si>
  <si>
    <r>
      <rPr>
        <rFont val="Calibri, sans-serif"/>
        <color rgb="FF1155CC"/>
        <sz val="11.0"/>
        <u/>
      </rPr>
      <t>https://x.gd/VpgLO</t>
    </r>
  </si>
  <si>
    <r>
      <rPr>
        <rFont val="Calibri, sans-serif"/>
        <color rgb="FF1155CC"/>
        <sz val="11.0"/>
        <u/>
      </rPr>
      <t>https://x.gd/sNoYY</t>
    </r>
  </si>
  <si>
    <r>
      <rPr>
        <rFont val="Calibri, sans-serif"/>
        <color rgb="FF1155CC"/>
        <sz val="11.0"/>
        <u/>
      </rPr>
      <t>https://x.gd/r1SY5</t>
    </r>
  </si>
  <si>
    <r>
      <rPr>
        <rFont val="Calibri, sans-serif"/>
        <color rgb="FF1155CC"/>
        <sz val="11.0"/>
        <u/>
      </rPr>
      <t>https://x.gd/6BpiK</t>
    </r>
  </si>
  <si>
    <r>
      <rPr>
        <rFont val="Calibri, sans-serif"/>
        <color rgb="FF1155CC"/>
        <sz val="11.0"/>
        <u/>
      </rPr>
      <t>https://x.gd/vq9LD</t>
    </r>
  </si>
  <si>
    <t>Site BR</t>
  </si>
  <si>
    <r>
      <rPr>
        <rFont val="Calibri, sans-serif"/>
        <color rgb="FF1155CC"/>
        <sz val="11.0"/>
        <u/>
      </rPr>
      <t>https://x.gd/EKVwZ</t>
    </r>
  </si>
  <si>
    <r>
      <rPr>
        <rFont val="Calibri, sans-serif"/>
        <color rgb="FF1155CC"/>
        <sz val="11.0"/>
        <u/>
      </rPr>
      <t>https://x.gd/jshI5</t>
    </r>
  </si>
  <si>
    <r>
      <rPr>
        <rFont val="Calibri, sans-serif"/>
        <color rgb="FF1155CC"/>
        <sz val="11.0"/>
        <u/>
      </rPr>
      <t>https://x.gd/XKAqc</t>
    </r>
  </si>
  <si>
    <r>
      <rPr>
        <rFont val="Calibri, sans-serif"/>
        <color rgb="FF1155CC"/>
        <sz val="11.0"/>
        <u/>
      </rPr>
      <t>https://x.gd/aPl5G</t>
    </r>
  </si>
  <si>
    <r>
      <rPr>
        <rFont val="Calibri, sans-serif"/>
        <color rgb="FF1155CC"/>
        <sz val="11.0"/>
        <u/>
      </rPr>
      <t>https://x.gd/iZgpR</t>
    </r>
  </si>
  <si>
    <r>
      <rPr>
        <rFont val="Calibri, sans-serif"/>
        <color rgb="FF1155CC"/>
        <sz val="11.0"/>
        <u/>
      </rPr>
      <t>https://x.gd/UcXGg</t>
    </r>
  </si>
  <si>
    <r>
      <rPr>
        <rFont val="Calibri, sans-serif"/>
        <color rgb="FF1155CC"/>
        <sz val="11.0"/>
        <u/>
      </rPr>
      <t>https://x.gd/96yRQ</t>
    </r>
  </si>
  <si>
    <r>
      <rPr>
        <rFont val="Calibri, sans-serif"/>
        <color rgb="FF1155CC"/>
        <sz val="11.0"/>
        <u/>
      </rPr>
      <t>https://x.gd/OFIDL</t>
    </r>
  </si>
  <si>
    <r>
      <rPr>
        <rFont val="Calibri, sans-serif"/>
        <color rgb="FF1155CC"/>
        <sz val="11.0"/>
        <u/>
      </rPr>
      <t>https://x.gd/FhhgH</t>
    </r>
  </si>
  <si>
    <r>
      <rPr>
        <rFont val="Calibri, sans-serif"/>
        <color rgb="FF1155CC"/>
        <sz val="11.0"/>
        <u/>
      </rPr>
      <t>https://x.gd/wK69j</t>
    </r>
  </si>
  <si>
    <r>
      <rPr>
        <rFont val="Calibri, sans-serif"/>
        <color rgb="FF1155CC"/>
        <sz val="11.0"/>
        <u/>
      </rPr>
      <t>https://x.gd/nuadW</t>
    </r>
  </si>
  <si>
    <t>Datasheet BR</t>
  </si>
  <si>
    <r>
      <rPr>
        <rFont val="Calibri, sans-serif"/>
        <color rgb="FF1155CC"/>
        <sz val="11.0"/>
        <u/>
      </rPr>
      <t>https://x.gd/Fzeni</t>
    </r>
  </si>
  <si>
    <r>
      <rPr>
        <rFont val="Calibri, sans-serif"/>
        <color rgb="FF1155CC"/>
        <sz val="11.0"/>
        <u/>
      </rPr>
      <t>https://x.gd/xW36Z</t>
    </r>
  </si>
  <si>
    <r>
      <rPr>
        <rFont val="Calibri, sans-serif"/>
        <color rgb="FF1155CC"/>
        <sz val="11.0"/>
        <u/>
      </rPr>
      <t>https://x.gd/p7WqA</t>
    </r>
  </si>
  <si>
    <r>
      <rPr>
        <rFont val="Calibri, sans-serif"/>
        <color rgb="FF1155CC"/>
        <sz val="11.0"/>
        <u/>
      </rPr>
      <t>https://x.gd/tzIpx</t>
    </r>
  </si>
  <si>
    <r>
      <rPr>
        <rFont val="Calibri, sans-serif"/>
        <color rgb="FF1155CC"/>
        <sz val="11.0"/>
        <u/>
      </rPr>
      <t>https://x.gd/N9R41</t>
    </r>
  </si>
  <si>
    <r>
      <rPr>
        <rFont val="Calibri, sans-serif"/>
        <color rgb="FF1155CC"/>
        <sz val="11.0"/>
        <u/>
      </rPr>
      <t>https://x.gd/NNLc4</t>
    </r>
  </si>
  <si>
    <r>
      <rPr>
        <rFont val="Calibri, sans-serif"/>
        <color rgb="FF1155CC"/>
        <sz val="11.0"/>
        <u/>
      </rPr>
      <t>https://x.gd/7ZECc</t>
    </r>
  </si>
  <si>
    <r>
      <rPr>
        <rFont val="Calibri, sans-serif"/>
        <color rgb="FF1155CC"/>
        <sz val="11.0"/>
        <u/>
      </rPr>
      <t>https://x.gd/3SJEA</t>
    </r>
  </si>
  <si>
    <r>
      <rPr>
        <rFont val="Calibri, sans-serif"/>
        <color rgb="FF1155CC"/>
        <sz val="11.0"/>
        <u/>
      </rPr>
      <t>https://x.gd/xPQo7</t>
    </r>
  </si>
  <si>
    <r>
      <rPr>
        <rFont val="Calibri, sans-serif"/>
        <color rgb="FF1155CC"/>
        <sz val="11.0"/>
        <u/>
      </rPr>
      <t>https://x.gd/Ub2rS</t>
    </r>
  </si>
  <si>
    <r>
      <rPr>
        <rFont val="Calibri, sans-serif"/>
        <color rgb="FF1155CC"/>
        <sz val="11.0"/>
        <u/>
      </rPr>
      <t>https://x.gd/GOYYE</t>
    </r>
  </si>
  <si>
    <r>
      <rPr>
        <rFont val="Calibri, sans-serif"/>
        <color rgb="FF1155CC"/>
        <sz val="11.0"/>
        <u/>
      </rPr>
      <t>https://x.gd/OgG6B</t>
    </r>
  </si>
  <si>
    <t>Guia Rápido BR</t>
  </si>
  <si>
    <r>
      <rPr>
        <rFont val="Calibri, sans-serif"/>
        <color rgb="FF1155CC"/>
        <sz val="11.0"/>
        <u/>
      </rPr>
      <t>https://x.gd/JXKPj</t>
    </r>
  </si>
  <si>
    <r>
      <rPr>
        <rFont val="Calibri, sans-serif"/>
        <color rgb="FF1155CC"/>
        <sz val="11.0"/>
        <u/>
      </rPr>
      <t>https://x.gd/7EDKM</t>
    </r>
  </si>
  <si>
    <r>
      <rPr>
        <rFont val="Calibri, sans-serif"/>
        <color rgb="FF1155CC"/>
        <sz val="11.0"/>
        <u/>
      </rPr>
      <t>https://x.gd/oOfK5</t>
    </r>
  </si>
  <si>
    <r>
      <rPr>
        <rFont val="Calibri, sans-serif"/>
        <color rgb="FF1155CC"/>
        <sz val="11.0"/>
        <u/>
      </rPr>
      <t>https://x.gd/IWRjf</t>
    </r>
  </si>
  <si>
    <t>Manual do Usuário BR</t>
  </si>
  <si>
    <r>
      <rPr>
        <rFont val="Calibri, sans-serif"/>
        <color rgb="FF1155CC"/>
        <sz val="11.0"/>
        <u/>
      </rPr>
      <t>https://x.gd/utTW5</t>
    </r>
  </si>
  <si>
    <r>
      <rPr>
        <rFont val="Calibri, sans-serif"/>
        <color rgb="FF1155CC"/>
        <sz val="11.0"/>
        <u/>
      </rPr>
      <t>https://x.gd/81rju</t>
    </r>
  </si>
  <si>
    <r>
      <rPr>
        <rFont val="Calibri, sans-serif"/>
        <color rgb="FF1155CC"/>
        <sz val="11.0"/>
        <u/>
      </rPr>
      <t>https://x.gd/5S8zc</t>
    </r>
  </si>
  <si>
    <r>
      <rPr>
        <rFont val="Calibri, sans-serif"/>
        <color rgb="FF1155CC"/>
        <sz val="11.0"/>
        <u/>
      </rPr>
      <t>https://x.gd/3QcwW</t>
    </r>
  </si>
  <si>
    <r>
      <rPr>
        <rFont val="Calibri, sans-serif"/>
        <color rgb="FF1155CC"/>
        <sz val="11.0"/>
        <u/>
      </rPr>
      <t>https://x.gd/DUIn8</t>
    </r>
  </si>
  <si>
    <r>
      <rPr>
        <rFont val="Calibri, sans-serif"/>
        <color rgb="FF1155CC"/>
        <sz val="11.0"/>
        <u/>
      </rPr>
      <t>https://x.gd/RIkCo</t>
    </r>
  </si>
  <si>
    <r>
      <rPr>
        <rFont val="Calibri, sans-serif"/>
        <color rgb="FF1155CC"/>
        <sz val="11.0"/>
        <u/>
      </rPr>
      <t>https://x.gd/AlM2U</t>
    </r>
  </si>
  <si>
    <r>
      <rPr>
        <rFont val="Calibri, sans-serif"/>
        <color rgb="FF1155CC"/>
        <sz val="11.0"/>
        <u/>
      </rPr>
      <t>https://x.gd/IgZap</t>
    </r>
  </si>
  <si>
    <r>
      <rPr>
        <rFont val="Calibri, sans-serif"/>
        <color rgb="FF1155CC"/>
        <sz val="11.0"/>
        <u/>
      </rPr>
      <t>https://x.gd/P9rWl</t>
    </r>
  </si>
  <si>
    <t>Desenho DWG</t>
  </si>
  <si>
    <t>Não tem</t>
  </si>
  <si>
    <t>Caminho servidor ZKBrasil</t>
  </si>
  <si>
    <t>\\192.168.12.202\Zkteco\Documentos ZKTeco\06. Produtos\1. Controle de acesso de pessoas\1. Biométricos, RFID e QRCode\SpeedFace-V5L [P] - ZAM180</t>
  </si>
  <si>
    <t>\\192.168.12.202\Zkteco\Documentos ZKTeco\06. Produtos\1. Controle de acesso de pessoas\1. Biométricos, RFID e QRCode\SpeedFace M4</t>
  </si>
  <si>
    <t>\\192.168.12.202\Zkteco\Documentos ZKTeco\06. Produtos\1. Controle de acesso de pessoas\1. Biométricos, RFID e QRCode\SpeedFace V4L - ZAM180</t>
  </si>
  <si>
    <t>Z:\Documentos ZKTeco\06. Produtos\1. Controle de acesso de pessoas\1. Biométricos, RFID e QRCode\SpeedFace V4L Pro</t>
  </si>
  <si>
    <t>\\192.168.12.202\Zkteco\Documentos ZKTeco\06. Produtos\1. Controle de acesso de pessoas\1. Biométricos, RFID e QRCode\SpeedFace V3L (Lite)</t>
  </si>
  <si>
    <t>\\192.168.12.202\Zkteco\Documentos ZKTeco\06. Produtos\1. Controle de acesso de pessoas\1. Biométricos, RFID e QRCode\Facedepot 7BL</t>
  </si>
  <si>
    <t>\\192.168.12.202\Zkteco\Documentos ZKTeco\06. Produtos\1. Controle de acesso de pessoas\1. Biométricos, RFID e QRCode\ProMA</t>
  </si>
  <si>
    <t>\\192.168.12.202\Zkteco\Documentos ZKTeco\06. Produtos\1. Controle de acesso de pessoas\1. Biométricos, RFID e QRCode\ProFace X[P]</t>
  </si>
  <si>
    <t>\\192.168.12.202\Zkteco\Documentos ZKTeco\06. Produtos\1. Controle de acesso de pessoas\1. Biométricos, RFID e QRCode\Proface X (SL)</t>
  </si>
  <si>
    <t>Z:\Documentos ZKTeco\06. Produtos\1. Controle de acesso de pessoas\1. Biométricos, RFID e QRCode\ProFace X DS</t>
  </si>
  <si>
    <t>\\192.168.12.202\Zkteco\Documentos ZKTeco\06. Produtos\1. Controle de acesso de pessoas\1. Biométricos, RFID e QRCode\SenseFace\SenseFace 7A</t>
  </si>
  <si>
    <t>Z:\Documentos ZKTeco\06. Produtos\1. Controle de acesso de pessoas\1. Biométricos, RFID e QRCode\SenseFace\SenseFace 4A</t>
  </si>
  <si>
    <t>Z:\Documentos ZKTeco\06. Produtos\1. Controle de acesso de pessoas\1. Biométricos, RFID e QRCode\SenseFace\SenseFace 3A</t>
  </si>
  <si>
    <t>Z:\Documentos ZKTeco\06. Produtos\1. Controle de acesso de pessoas\1. Biométricos, RFID e QRCode\SenseFace\SenseFace 2A</t>
  </si>
  <si>
    <t>Certificados Internacionais (CE, FCC, SGS, IP65…)</t>
  </si>
  <si>
    <t>Z:\Documentos ZKTeco\06. Produtos\1. Controle de acesso de pessoas\1. Biométricos, RFID e QRCode\SpeedFace-V5L [P] - ZAM180\Certificados</t>
  </si>
  <si>
    <t>Z:\Documentos ZKTeco\06. Produtos\1. Controle de acesso de pessoas\1. Biométricos, RFID e QRCode\SpeedFace M4\Certificados</t>
  </si>
  <si>
    <t>Z:\Documentos ZKTeco\06. Produtos\1. Controle de acesso de pessoas\1. Biométricos, RFID e QRCode\SpeedFace-V4L\Certificados</t>
  </si>
  <si>
    <t>Z:\Documentos ZKTeco\06. Produtos\1. Controle de acesso de pessoas\1. Biométricos, RFID e QRCode\SpeedFace V4L Pro\Certificados</t>
  </si>
  <si>
    <t>Z:\Documentos ZKTeco\06. Produtos\1. Controle de acesso de pessoas\1. Biométricos, RFID e QRCode\SpeedFace V3L (Lite)\Certificados</t>
  </si>
  <si>
    <t>Z:\Documentos ZKTeco\06. Produtos\1. Controle de acesso de pessoas\1. Biométricos, RFID e QRCode\Facedepot 7BL\Certificados</t>
  </si>
  <si>
    <r>
      <rPr>
        <rFont val="Arial, sans-serif"/>
        <color rgb="FF1155CC"/>
        <u/>
      </rPr>
      <t>\\192.168.12.202\Zkteco\Documentos ZKTeco\06. Produtos\1. Controle de acesso de pessoas\1. Biométricos, RFID e QRCode\ProMA</t>
    </r>
  </si>
  <si>
    <t>Z:\Documentos ZKTeco\06. Produtos\1. Controle de acesso de pessoas\1. Biométricos, RFID e QRCode\ProFace X - ZAM 180\Certificados</t>
  </si>
  <si>
    <t>Não temos essa informação</t>
  </si>
  <si>
    <t>Z:\Documentos ZKTeco\06. Produtos\1. Controle de acesso de pessoas\1. Biométricos, RFID e QRCode\ProFace X DS\Certificados</t>
  </si>
  <si>
    <t>Z:\Documentos ZKTeco\06. Produtos\1. Controle de acesso de pessoas\1. Biométricos, RFID e QRCode\SenseFace\Certificações\Certificações (China)</t>
  </si>
  <si>
    <t>Capacidade</t>
  </si>
  <si>
    <t>Capacidade de Usuários</t>
  </si>
  <si>
    <t>10.000 (Opcional: 50.000)</t>
  </si>
  <si>
    <t>1.000 (Opcional: 2.000)</t>
  </si>
  <si>
    <t>3.000 (Opcional: 10.000)</t>
  </si>
  <si>
    <t>Capacidade de Faces</t>
  </si>
  <si>
    <t>50.000 (Opcional: 100.000)</t>
  </si>
  <si>
    <t>30.000 (Opcional: 50.000)</t>
  </si>
  <si>
    <t>N/A</t>
  </si>
  <si>
    <t>Capacidade de Digitais</t>
  </si>
  <si>
    <t>Opcional:10.000</t>
  </si>
  <si>
    <t>Capacidade de Palma</t>
  </si>
  <si>
    <t>Opcional:3.000</t>
  </si>
  <si>
    <t>Opcional: 5.000</t>
  </si>
  <si>
    <t>Capacidade de QR Code</t>
  </si>
  <si>
    <t>Capacidade de Cartões RFID</t>
  </si>
  <si>
    <t>Em breve</t>
  </si>
  <si>
    <t>Capacidade de Senhas</t>
  </si>
  <si>
    <t>Quantidade de Administradores</t>
  </si>
  <si>
    <t>Capacidade de Registros</t>
  </si>
  <si>
    <t>200.000 (Opcional 500.000)</t>
  </si>
  <si>
    <t>1.000.000 (Opcional: 2.000.000)</t>
  </si>
  <si>
    <t>Especificações Técnicas Gerais</t>
  </si>
  <si>
    <t>Código Sankhya</t>
  </si>
  <si>
    <t>NCM</t>
  </si>
  <si>
    <t>Base de Dados Local</t>
  </si>
  <si>
    <t>Sim</t>
  </si>
  <si>
    <t>Conexão Ethernet</t>
  </si>
  <si>
    <t>TCP/IP (10/100Base-T)</t>
  </si>
  <si>
    <t>Acompanha fonte de alimentação?</t>
  </si>
  <si>
    <t>sim</t>
  </si>
  <si>
    <t>Não</t>
  </si>
  <si>
    <t>Tensão de Alimentação</t>
  </si>
  <si>
    <t>12Vcc</t>
  </si>
  <si>
    <t>Corrente</t>
  </si>
  <si>
    <t>3A</t>
  </si>
  <si>
    <t>1.5A</t>
  </si>
  <si>
    <t>Tecnologia RFID</t>
  </si>
  <si>
    <t>ID 125Khz ou 13,56Mhz</t>
  </si>
  <si>
    <t>13,56Mhz</t>
  </si>
  <si>
    <t>Dimensões (L × A × P)</t>
  </si>
  <si>
    <t>91,93 x 202,93 x 21,5 (mm)</t>
  </si>
  <si>
    <t>103,83 x 212,41 x 50,60 (mm)</t>
  </si>
  <si>
    <t>157,94 x 72,94 x 23 (mm)</t>
  </si>
  <si>
    <t>183 x 88 x 20,5 (mm)</t>
  </si>
  <si>
    <t>116,8 x 8,3 x 17,0 (mm)</t>
  </si>
  <si>
    <t>91,93 x 202,93 x 21,5mm</t>
  </si>
  <si>
    <t>68,7 x 194,7 x 28,3mm</t>
  </si>
  <si>
    <t>227 x 143 x 26 mm</t>
  </si>
  <si>
    <t>238 x 115 x 22,3mm</t>
  </si>
  <si>
    <t>175.00 x 84.50 x 21.65 mm</t>
  </si>
  <si>
    <t>166 x 63 x 25 mm</t>
  </si>
  <si>
    <t>205.20 x 74.19 x 33.30 mm</t>
  </si>
  <si>
    <t>Consumo Máximo</t>
  </si>
  <si>
    <t>36W</t>
  </si>
  <si>
    <t>18W</t>
  </si>
  <si>
    <t>Temperatura de Operação</t>
  </si>
  <si>
    <t>-10°C a 45°C</t>
  </si>
  <si>
    <t>-10°C a 50°C</t>
  </si>
  <si>
    <t>0°C a 45°C</t>
  </si>
  <si>
    <t>-5°C a 45°C</t>
  </si>
  <si>
    <t>0°C a 45 °C</t>
  </si>
  <si>
    <t>-26°C a 55 °C</t>
  </si>
  <si>
    <t>-30°C a 60°C</t>
  </si>
  <si>
    <t>-20°C a 55°C</t>
  </si>
  <si>
    <t>Umidade Relativa de Operação</t>
  </si>
  <si>
    <t>10% a 90%</t>
  </si>
  <si>
    <t>20% a 80%</t>
  </si>
  <si>
    <t>≤ 93%</t>
  </si>
  <si>
    <t>20% to 80%</t>
  </si>
  <si>
    <t>Grau de Proteção</t>
  </si>
  <si>
    <t>IP66</t>
  </si>
  <si>
    <t>IP65</t>
  </si>
  <si>
    <t>Opicional: IP65 (Apenas no FaceDepot 7BL-WP)</t>
  </si>
  <si>
    <t>IP68</t>
  </si>
  <si>
    <t>Antivandalismo</t>
  </si>
  <si>
    <t>IK07</t>
  </si>
  <si>
    <t>IK04 (Opcional: IK10)</t>
  </si>
  <si>
    <t>IK04</t>
  </si>
  <si>
    <t>Peso Bruto (KG)</t>
  </si>
  <si>
    <t>0.61</t>
  </si>
  <si>
    <t>Ambiente de Instalação</t>
  </si>
  <si>
    <t>Interno</t>
  </si>
  <si>
    <t>Interno e externo</t>
  </si>
  <si>
    <t>Interno. Opcional: Externo</t>
  </si>
  <si>
    <t>Interno (devido a tecnologia de luz struturada 3D)</t>
  </si>
  <si>
    <t>Certificações internacionais</t>
  </si>
  <si>
    <t>ISO14001, ISO9001, CE, FCC</t>
  </si>
  <si>
    <t>ISO14001, ISO9001, CE, FCC, Anatel</t>
  </si>
  <si>
    <t>ISO14001, ISO9001, CE, FCC, RoHS</t>
  </si>
  <si>
    <t>ISO 9001, ISO14001, CE, FCC, RoHS</t>
  </si>
  <si>
    <t>CE-RED,FCC</t>
  </si>
  <si>
    <t>Itens da embalagem</t>
  </si>
  <si>
    <t>1. Equipamento montado.
 2. Adesivo de posição de montagem e placa de montagem.
 3. Guia rápido.
 4. Cabo de alimentação de 12 V/cabo RS232, RS485
 /cabo RJ 45/cabo Wiegand/cabo de porta e sensor,etc.
 5. Chave torx e parafusos de instalação.
 6. Fonte de alimentação de 12V 3A.
 7. Diodo FR107.</t>
  </si>
  <si>
    <t>1. Equipamento montado.
 2. Adesivo de posição de montagem e placa de montagem.
 3. Guia rápido.
 4. Fonte de alimentação de 12V 3A.
 5. Chave torx e parafusos de instalação.
 6. Diodo FR107.</t>
  </si>
  <si>
    <t>1. Equipamento montado.
 2. Adesivo de posição de montagem e placa de montagem.
 3. Guia rápido.
 4. Cabo de alimentação de 12 V/cabo RS232, RS485
 /cabo RJ 45/cabo Wiegand/cabo de porta e sensor, etc.
 5. Chave torx e parafusos de instalação.
 6. Fonte de alimentação de 12V 3A.
 7. Diodo FR107.</t>
  </si>
  <si>
    <t>1. Equipamento montado.
 2. Adesivo de posição de montagem e placa de montagem.
 3. Guia rápido.
 4. Cabo de alimentação de 12 V/cabo RS232, RS485
 /cabo RJ 45/cabo Wiegand/cabo de porta e sensor, etc.
 5. Chave torx e parafusos de instalação.
 6. Alimentação de 12V 3A.
 7. Diodo FR107.</t>
  </si>
  <si>
    <t>1. Equipamento montado.
 2. Adesivo de posição de montagem e placa de montagem.
 3. Guia rápido.
 4. Fonte alimentação de 12V 3A.
 5. Chave torx e parafusos de instalação.
 6. Diodo FR107.</t>
  </si>
  <si>
    <t>1. Equipamento montado.
 2. Adesivo de posição de montagem e placa de montagem.
 3. Guia rápido.
 4. Cabo de alimentação de 12 V/cabo RS232, RS485
 /cabo RJ 45/cabo Wiegand/cabo de porta e sensor, etc.
 5. Chave torx e parafusos de fixação.
 6. Fonte de alimentação de 12V 3A.
 7. Diodo FR107.</t>
  </si>
  <si>
    <t>1. Equipamento montado.
 2. Adesivo de posição de montagem e placa de montagem.
 3. Guia rápido.
 4. Fonte de alimentação de 12V 3A.
 5. Chave torx e parafusos de fixação.
 6. Diodo FR107.</t>
  </si>
  <si>
    <t>1. Equipamento montado.
 2. Adesivo de posição de montagem e placa de montagem.
 3. Guia rápido
 4. Fonte de alimentação de 12V 3A.
 5. Chave torx e parafusos de fixação.
 6. Diodo FR107.</t>
  </si>
  <si>
    <t>1. Equipamento montado
 2. Adesivo de posição de montagem e placa de montagem.
 3. Guia rápido.
 4. Fonte de alimentação de 12V 3A.
 5. Chave torx e parafusos de fixação.
 6. Diodo FR107.</t>
  </si>
  <si>
    <t>1. Equipamento montado.
 2. Adesivo de posição de montagem e placa de montagem.
 3. Guia rápido.
 4. Fonte de alimentação de 12V 3A.
 5. Chave torx e parafusos de fixação.
 6. Diodo FR107</t>
  </si>
  <si>
    <t>1. Equipamento montado.
 2. Adesivo de posição de montagem e placa de montagem.
 3. Guia rápido
 4. Cabo de alimentação de 12 V/cabo RS232, RS485
 /cabo RJ 45/cabo Wiegand/cabo de porta e sensor, etc.
 5. Chave torx e parafusos de fixação.
 6. Diodo FR107</t>
  </si>
  <si>
    <t>Sistema</t>
  </si>
  <si>
    <t>Plataforma</t>
  </si>
  <si>
    <t>ZAM180</t>
  </si>
  <si>
    <t>ZMM510</t>
  </si>
  <si>
    <t>ZAM-180</t>
  </si>
  <si>
    <t>ZAM170</t>
  </si>
  <si>
    <t>ZAM200</t>
  </si>
  <si>
    <t>ZAM70</t>
  </si>
  <si>
    <t>Versão de firmware</t>
  </si>
  <si>
    <t>ZAM180-NF50VA-Ver.4.1.4</t>
  </si>
  <si>
    <t>ZAM180-NF40VA-Ver4.0.9</t>
  </si>
  <si>
    <t>ZAM180-NF40VB-Ver4.0.9</t>
  </si>
  <si>
    <t>ZMM510-NF24VC-Ver2.1.4</t>
  </si>
  <si>
    <t>ZAM180-NF70VA-Ver4.0.11</t>
  </si>
  <si>
    <t>ZAM180-NF20VA-Ver4.0.7</t>
  </si>
  <si>
    <t>ZAM180-NF80VC-Ver3.3.4</t>
  </si>
  <si>
    <t>3.0.36</t>
  </si>
  <si>
    <t>ZAM200-NF80VF-Ver8.0.2</t>
  </si>
  <si>
    <t>ZAM70-NF70VA-Ver3.0.15</t>
  </si>
  <si>
    <t>CPU</t>
  </si>
  <si>
    <t>1 GHz Dual Core</t>
  </si>
  <si>
    <t>900 MHz Dual Core</t>
  </si>
  <si>
    <t>1 GHz Quad Core</t>
  </si>
  <si>
    <t>900MHz Dual Core</t>
  </si>
  <si>
    <t>1.2 GHz Quad-core</t>
  </si>
  <si>
    <t>Sistema Operacional</t>
  </si>
  <si>
    <t>Linux embarcado</t>
  </si>
  <si>
    <t>Memória RAM</t>
  </si>
  <si>
    <t>1GB</t>
  </si>
  <si>
    <t>256MB</t>
  </si>
  <si>
    <t>512MB</t>
  </si>
  <si>
    <t>Memória ROM/Flash</t>
  </si>
  <si>
    <t>8GB</t>
  </si>
  <si>
    <t>512 MB</t>
  </si>
  <si>
    <t>Display</t>
  </si>
  <si>
    <t>5 Polegadas</t>
  </si>
  <si>
    <t>4 Polegadas</t>
  </si>
  <si>
    <t>2,4 Polegadas</t>
  </si>
  <si>
    <t>7 Polegadas</t>
  </si>
  <si>
    <t>2 Polegadas</t>
  </si>
  <si>
    <t>8 polegadas</t>
  </si>
  <si>
    <t>7 polegadas</t>
  </si>
  <si>
    <t>4,3 polegadas</t>
  </si>
  <si>
    <t>2.8 polegadas</t>
  </si>
  <si>
    <t>2.4 polegadas</t>
  </si>
  <si>
    <t>Tipo de Tela</t>
  </si>
  <si>
    <t>Tela LCD IPS sensível ao toque</t>
  </si>
  <si>
    <t>Tela LED de toque colorida TFT</t>
  </si>
  <si>
    <t>Tela TFT</t>
  </si>
  <si>
    <t>Tela LCD IPS (400lux) sensível ao toque</t>
  </si>
  <si>
    <t>Tela LCD sensível ao toque</t>
  </si>
  <si>
    <t>Tela LED sensível ao toque TFT colorida</t>
  </si>
  <si>
    <t>Tela LCD colorida TFT</t>
  </si>
  <si>
    <t>Resolução da tela</t>
  </si>
  <si>
    <t>720x1080</t>
  </si>
  <si>
    <t>480x800</t>
  </si>
  <si>
    <t>480*800</t>
  </si>
  <si>
    <t>240x320</t>
  </si>
  <si>
    <t>720x1280</t>
  </si>
  <si>
    <t>800x1280</t>
  </si>
  <si>
    <t>600*1024</t>
  </si>
  <si>
    <t>272*480</t>
  </si>
  <si>
    <t>240*320</t>
  </si>
  <si>
    <t>320*240</t>
  </si>
  <si>
    <t>Câmeras</t>
  </si>
  <si>
    <t>Câmera 2MP Low Litght (WDR)</t>
  </si>
  <si>
    <t>Camera Binocular 2MP</t>
  </si>
  <si>
    <t>Camera Binocular 1MP</t>
  </si>
  <si>
    <t>Camera Binocular 1MP (WDR)</t>
  </si>
  <si>
    <t>Compensação de Luz</t>
  </si>
  <si>
    <t>Autocompensação de LEDs IR e LEDs brancos.</t>
  </si>
  <si>
    <t>Autocompensação de LEDs IR</t>
  </si>
  <si>
    <t>Alto falante</t>
  </si>
  <si>
    <t>XDEC-2415B08J20NF26-D100 8Ω¸ 1W 24mm*15mm*5mm(1E-2P-100-1.25 32AWG ) RoHS</t>
  </si>
  <si>
    <t>XDEC-20M08J20NI19-D90 8Ω1.5W φ20*5.5mm (1E-2P-90-2.0-PH 28AWG)·IP67 RoHS</t>
  </si>
  <si>
    <t>DS20LA008010J-R-06 8Ω¸ 0.8W φ20*4.5mm(1E-2P-60-1.25 28AWG)</t>
  </si>
  <si>
    <t>ZQ102 speaker
 ZTX-230107-BOX(1E-2P-65-1.0 30AWG ),8Ω,1W,47.35×12.8×5.65mm,RoHS</t>
  </si>
  <si>
    <t>SPS1115G-03(1E-2P-35-1.0 30AWG
 8Ω,1W,47.35×12.8mm,RoHS</t>
  </si>
  <si>
    <t>SQM0922LA008005J-R-03 8Ω¸ 1W 22*9*6.4mm(1E-2P-150-1.25 30AWG) IP67</t>
  </si>
  <si>
    <t>XDEC-2415B08J20NF26-D20,8Ω,1W,24×15×5mm(1E-2P-20-1.25 32AWG),RoHS</t>
  </si>
  <si>
    <t>Left Spaker:SQM0922LA008005J-R-03 8Ω¸ 1W 22*9*6.4mm(1E-2P-150-1.25 30AWG) IP67
 Right Spaker:SQW2209XJ08-001 8Ω1W 22*9*6mm(1E-2P-35-1.25 30AWG) IP67</t>
  </si>
  <si>
    <t>8ohm @1W</t>
  </si>
  <si>
    <t>Microfone</t>
  </si>
  <si>
    <t>XDEC-EM4015 -32dB -32dB±3dB 2.2KΩ φ4.0mm*1.5mm</t>
  </si>
  <si>
    <t>XDEC-EM4015 Sensitivity-32dB-D90 -32dB±3dB 2.2KΩ φ4.0mm*1.5mm</t>
  </si>
  <si>
    <t>XDEC-EM4015 -32dB-D40 Sensitivity -32dB±3dB 2.2KΩ,φ4.0mm*1.5mm (1E-2P-40-1.25,40mm±5mm) RoHS</t>
  </si>
  <si>
    <t>(Sensitivity: -32dB / Omni-directional / Signal-to-Noise Ratio: 58dB / Impedance: 2.2kΩ)</t>
  </si>
  <si>
    <t>XDEC-EM4015-32dB-D140 Sensitivity-32dB±3dB 2.2KΩ φ4.0mm*1.5mm</t>
  </si>
  <si>
    <t>XDEC-EM4015 -32dB-D60 Sensitivity-32dB±3dB 2.2KΩ,φ4.0mm*1.5mm (1E-2P-40-1.25,60mm±5mm) RoHS</t>
  </si>
  <si>
    <t>XDEC-EM4015-32dB-D90 -32dB±3dB 2.2KΩ,φ4.0mm*1.5mm (1E-2P-90-1.25 ,90mm±0.5mm)</t>
  </si>
  <si>
    <t>Sensitivity: -32dB / Omni-directional / Signal-to-Noise Ratio: -32dB /
 Impedance: 2.2kΩ)</t>
  </si>
  <si>
    <t>Sensitivity: -42 dB/ Omni-directional/ Signal-to-Noise Ratio: 58 dB/
 Impedance: 2.2kΩ)</t>
  </si>
  <si>
    <t>Sensibilidade: -42 dB/ Omnidirecional/Relação sinal-ruído: 58 dB/
  Impedância: 2,2kΩ</t>
  </si>
  <si>
    <t>Sensibilidade: -32 dB / Omnidirecional / Relação sinal-ruído: -32
  dB/Impedância: 2,2kΩ</t>
  </si>
  <si>
    <t>Tipo de sensor de impressão digital</t>
  </si>
  <si>
    <t>Sensor óptico ZK</t>
  </si>
  <si>
    <t>Sensor óptico ZK (in glass)</t>
  </si>
  <si>
    <t>Especificações do sensor FP</t>
  </si>
  <si>
    <t>Z-ID</t>
  </si>
  <si>
    <t>WDR</t>
  </si>
  <si>
    <t>(81 dB linear mode
 105 dB HDR mode)</t>
  </si>
  <si>
    <t>81 dB linear mode</t>
  </si>
  <si>
    <t>70.5 dB linear mode</t>
  </si>
  <si>
    <t>81 dB linear mode
 105 dB HDR mode</t>
  </si>
  <si>
    <t>Sim (WDRStatus=1)
 (81 dB linear mode
 105 dB HDR mode)</t>
  </si>
  <si>
    <t>Sim (WDRStatus=1)</t>
  </si>
  <si>
    <t>83 dB linear mode</t>
  </si>
  <si>
    <t>Sinalização ao Usuário</t>
  </si>
  <si>
    <t>Sonora (voz) e visual</t>
  </si>
  <si>
    <t>Comunicação</t>
  </si>
  <si>
    <t>Rede TCP/IP</t>
  </si>
  <si>
    <t>10/100Base-T</t>
  </si>
  <si>
    <t>PoE</t>
  </si>
  <si>
    <t>Opcional (interno) IEEE????</t>
  </si>
  <si>
    <t>PoE IEEE 802.3af / at (externo)</t>
  </si>
  <si>
    <t>Wi-Fi</t>
  </si>
  <si>
    <t>IEEE 802.11b / g / n 2.4GHz
  Wi-Fi 2,4 GHz ~ 2,4835 GHz
  Suporta 20 MHz e 40 MHz
  64/128 bits WEP, WPA/WPA2, WPA-PSK/WPA2-PSK
  802.11b: até 11 Mbps, 802.11g: até 54 Mbps, 802.11n: até 300 Mbps (HT40)</t>
  </si>
  <si>
    <t>Opcional</t>
  </si>
  <si>
    <t>Softwares compatíveis</t>
  </si>
  <si>
    <t>ZKBioCV Access e ZKBioCVSecurity</t>
  </si>
  <si>
    <t>Protocolos</t>
  </si>
  <si>
    <t>Protocolo Rede</t>
  </si>
  <si>
    <t>TCP/IP</t>
  </si>
  <si>
    <t>Protocolo Wiegand</t>
  </si>
  <si>
    <t>Protocolo OSDP</t>
  </si>
  <si>
    <t>OSDP V2.1.7</t>
  </si>
  <si>
    <t>Protocolo SIP</t>
  </si>
  <si>
    <t>Público (Proprietário) e Privado</t>
  </si>
  <si>
    <t>Privado (ZKBioCVSecurity ou ZKBioTalk)</t>
  </si>
  <si>
    <t>Protocolo ONVIF</t>
  </si>
  <si>
    <t>Sim (Profile S????</t>
  </si>
  <si>
    <t>Sim (Compatível com Perfil S, Perfil T, Perfil G, Perfil C, Perfil Q e Perfil A)</t>
  </si>
  <si>
    <t>Protocolo RTSP</t>
  </si>
  <si>
    <t>Protcolo HTTPS</t>
  </si>
  <si>
    <t>Performance</t>
  </si>
  <si>
    <t>Tecnologia facial</t>
  </si>
  <si>
    <t>Luz visível</t>
  </si>
  <si>
    <t>Luz struturada 3D</t>
  </si>
  <si>
    <t>Dual Spectrum (Luz visível + IR)</t>
  </si>
  <si>
    <t>Algoritmo de Reconhecimento</t>
  </si>
  <si>
    <t>Algoritmo de inteligência artificial (IA) e reconhecimento facial vivo (liveness detection) para prevenir fraudes com fotos ou vídeos.</t>
  </si>
  <si>
    <t>Sensibilidade a lux (LUX)</t>
  </si>
  <si>
    <t>Face (Área de exposição)</t>
  </si>
  <si>
    <t>Palma AE (Área de exposição)</t>
  </si>
  <si>
    <t>Distância de reconhecimento facial</t>
  </si>
  <si>
    <t>30cm a 200cm</t>
  </si>
  <si>
    <t>30cm a 170cm</t>
  </si>
  <si>
    <t>30cm a 120cm</t>
  </si>
  <si>
    <t>30cm to 200cm</t>
  </si>
  <si>
    <t>Índice de Falsa Aceitação (FAR) facial</t>
  </si>
  <si>
    <t>≤ 0.01%</t>
  </si>
  <si>
    <t>≤0.01%</t>
  </si>
  <si>
    <t>≤ 0.001%</t>
  </si>
  <si>
    <t>Índice de Falsa Rejeição (FRR) facial</t>
  </si>
  <si>
    <t>≤ 0.02%</t>
  </si>
  <si>
    <t>≤0.02%</t>
  </si>
  <si>
    <t>≤ 1%</t>
  </si>
  <si>
    <t>Tempo de Reconhecimento Facial</t>
  </si>
  <si>
    <t>&lt;1s</t>
  </si>
  <si>
    <t>≤0,5s</t>
  </si>
  <si>
    <t>&lt;0,35 s</t>
  </si>
  <si>
    <t>≤0,3s</t>
  </si>
  <si>
    <t>0,3s</t>
  </si>
  <si>
    <t>0,35s</t>
  </si>
  <si>
    <t>0.35s</t>
  </si>
  <si>
    <t>Intervalo de Reconhecimento Facial</t>
  </si>
  <si>
    <t>De 0 a 9 segundos</t>
  </si>
  <si>
    <t>Índice de Falsa Aceitação (FAR) digital</t>
  </si>
  <si>
    <t>≤ 0.0001%</t>
  </si>
  <si>
    <t>≤0.0001%</t>
  </si>
  <si>
    <t>Índice de Falsa Rejeição (FRR) digital</t>
  </si>
  <si>
    <t>Tempo de Reconhecimento digital</t>
  </si>
  <si>
    <t>&lt;0.3s</t>
  </si>
  <si>
    <t>&lt;0.5s</t>
  </si>
  <si>
    <t>&lt; 0.5 s</t>
  </si>
  <si>
    <t>Distância de reconhecimento de palma</t>
  </si>
  <si>
    <t>30 a 50cm</t>
  </si>
  <si>
    <t>Até 50cm</t>
  </si>
  <si>
    <t>Índice de Falsa Aceitação (FAR) Palma</t>
  </si>
  <si>
    <t>≤ 0.05%</t>
  </si>
  <si>
    <t>Índice de Falsa Rejeição (FRR) Palma</t>
  </si>
  <si>
    <t>≤ 1.8%</t>
  </si>
  <si>
    <t>Tempo de Reconhecimento Palma</t>
  </si>
  <si>
    <t>&lt;0.35s</t>
  </si>
  <si>
    <t>Funções</t>
  </si>
  <si>
    <t>Possibilita confirmação de Passagem com catracas (Entrada Aux ou Sem)</t>
  </si>
  <si>
    <t>Reset do equipamento</t>
  </si>
  <si>
    <t>Tamper</t>
  </si>
  <si>
    <t>Rede TCP/IP (SSH)</t>
  </si>
  <si>
    <t>Modo de Autenticação</t>
  </si>
  <si>
    <t>Face/Palma/Digital/Cartão/QR Code/Senha</t>
  </si>
  <si>
    <t>Face/Palma/Cartão/QR Code/Senha</t>
  </si>
  <si>
    <t>Face/Cartão/Senha</t>
  </si>
  <si>
    <t>Face/Senha (Opcional: Digital/Cartão/Palma</t>
  </si>
  <si>
    <t>Face/ Digital (Opcional: Palma)</t>
  </si>
  <si>
    <t>Face/QR Code (Opcional: Palma)</t>
  </si>
  <si>
    <t>Face/Cartão/QR Code/Senha</t>
  </si>
  <si>
    <t>Face/Impressão digital/Cartão/Senha</t>
  </si>
  <si>
    <t>Face/Impressão digital/Senha</t>
  </si>
  <si>
    <t>Método de Autenticação</t>
  </si>
  <si>
    <t>Simples ou combinado</t>
  </si>
  <si>
    <t>Leitor de Cartão Periférico</t>
  </si>
  <si>
    <t>Wiegand ou RS-485</t>
  </si>
  <si>
    <t>Monitoramento em Tempo Real</t>
  </si>
  <si>
    <t>Web Browser</t>
  </si>
  <si>
    <t>Configuração da Rede</t>
  </si>
  <si>
    <t>Verificação Online</t>
  </si>
  <si>
    <t>Sensor de Movimento</t>
  </si>
  <si>
    <t>Sistema de Coação</t>
  </si>
  <si>
    <t>Impressão digital ou senha</t>
  </si>
  <si>
    <t>Senha</t>
  </si>
  <si>
    <t>Apenas no ProMA</t>
  </si>
  <si>
    <t>Por senha</t>
  </si>
  <si>
    <t>Sistema Antifraude ( Anti-Passback)</t>
  </si>
  <si>
    <t>Local (Wigand) e Global (Online)</t>
  </si>
  <si>
    <t>Global (Online)</t>
  </si>
  <si>
    <t>Entrada de Alarme</t>
  </si>
  <si>
    <t>Saida de Alarme</t>
  </si>
  <si>
    <t>Áudio Bidirecional</t>
  </si>
  <si>
    <t>Sistema Antifraude (Anti-Fake)</t>
  </si>
  <si>
    <t>Integração</t>
  </si>
  <si>
    <t>PUSH SDK ou API BEST</t>
  </si>
  <si>
    <t>PUSH SDK</t>
  </si>
  <si>
    <t>PUSH SDK &amp;BEST</t>
  </si>
  <si>
    <t>PUSH SDK e BEST</t>
  </si>
  <si>
    <t>Portas</t>
  </si>
  <si>
    <t>RS-485</t>
  </si>
  <si>
    <t>RS-232</t>
  </si>
  <si>
    <t>Saída 12Vcc</t>
  </si>
  <si>
    <t>Bell (Campainha)</t>
  </si>
  <si>
    <t>Wiegand</t>
  </si>
  <si>
    <t>2 (uma para entrada e outra pra saída)</t>
  </si>
  <si>
    <t>1 (saída ou entrada)</t>
  </si>
  <si>
    <t>USB</t>
  </si>
  <si>
    <t>Saída de alarme</t>
  </si>
  <si>
    <t>Botão de saída</t>
  </si>
  <si>
    <t>Detecção do status da porta</t>
  </si>
  <si>
    <t>Controle de Porta (Relé)</t>
  </si>
  <si>
    <t>Custos</t>
  </si>
  <si>
    <t>EXW</t>
  </si>
  <si>
    <t>II</t>
  </si>
  <si>
    <t>IPI</t>
  </si>
  <si>
    <t>ICMS</t>
  </si>
  <si>
    <t>Frete</t>
  </si>
  <si>
    <t>PIS</t>
  </si>
  <si>
    <t>COFINS</t>
  </si>
  <si>
    <t>Despesas Aduaneiras</t>
  </si>
  <si>
    <t>Outras Despesas</t>
  </si>
  <si>
    <t>Custo final</t>
  </si>
  <si>
    <t>Preço de venda</t>
  </si>
  <si>
    <t>Margem de Lucro</t>
  </si>
  <si>
    <t>PV</t>
  </si>
  <si>
    <t>PSD</t>
  </si>
  <si>
    <t>PSCF</t>
  </si>
  <si>
    <t>Markup PSD/PV</t>
  </si>
  <si>
    <t>Markup PSCF/PSD</t>
  </si>
  <si>
    <t>Selecione o modelo</t>
  </si>
  <si>
    <t>Nome do Modelo</t>
  </si>
  <si>
    <t>Z-ID mesmo usado no ZK9500</t>
  </si>
  <si>
    <t>Tipo de Scanner</t>
  </si>
  <si>
    <t>Óptico</t>
  </si>
  <si>
    <t>280MHz DSP</t>
  </si>
  <si>
    <t>Flash</t>
  </si>
  <si>
    <t>32 MB</t>
  </si>
  <si>
    <t>SoC</t>
  </si>
  <si>
    <t>RTOS</t>
  </si>
  <si>
    <t>Qualidade da Imagem</t>
  </si>
  <si>
    <t>2-megapixel CMOS</t>
  </si>
  <si>
    <t>Dados Criptografados de Impressão Digital</t>
  </si>
  <si>
    <t>À Prova de Respingos de Água</t>
  </si>
  <si>
    <t>Consumo de Energia</t>
  </si>
  <si>
    <t>5V:200mA varredura; 5V:60mA inativo (aguardando o dedo)</t>
  </si>
  <si>
    <t>LED</t>
  </si>
  <si>
    <t>Branco</t>
  </si>
  <si>
    <t>Certificações do Produto</t>
  </si>
  <si>
    <t>FCC, CE, RoHS</t>
  </si>
  <si>
    <t>Tensão de Energia</t>
  </si>
  <si>
    <t>5V</t>
  </si>
  <si>
    <t>Corrente de Energia</t>
  </si>
  <si>
    <t>200mA</t>
  </si>
  <si>
    <t>USB 2.0/USB1.1</t>
  </si>
  <si>
    <t>Soquete de Interface</t>
  </si>
  <si>
    <t>USB Tipo A</t>
  </si>
  <si>
    <t>Resolução da Imagem</t>
  </si>
  <si>
    <t>500dpi</t>
  </si>
  <si>
    <t>Área Efetiva de Coleta</t>
  </si>
  <si>
    <t>15,24 x 20,32 mm</t>
  </si>
  <si>
    <t>Área de Coleta</t>
  </si>
  <si>
    <t>16,5 x 23 (mm)</t>
  </si>
  <si>
    <t>Tamanho da Imagem</t>
  </si>
  <si>
    <t>300 x 400 pixels</t>
  </si>
  <si>
    <t>Dimensões (C x L x A)</t>
  </si>
  <si>
    <t>75,5 x 53,2 x 19 mm</t>
  </si>
  <si>
    <t>Formatos de Imagem</t>
  </si>
  <si>
    <t>RAW, BMP, JPG</t>
  </si>
  <si>
    <t>Escala de Cinza</t>
  </si>
  <si>
    <t>Ambiente Operacional</t>
  </si>
  <si>
    <t>-20 °C ~ +50 °C; 90% r.h.</t>
  </si>
  <si>
    <t>Algoritmo</t>
  </si>
  <si>
    <t>ZKFinger V10.0</t>
  </si>
  <si>
    <t>Possibilita confirmação de Passagem com catracas (Entrada Aux ou SEN)</t>
  </si>
  <si>
    <t>OSDP</t>
  </si>
  <si>
    <r>
      <rPr>
        <rFont val="Calibri, sans-serif"/>
        <color rgb="FF1155CC"/>
        <sz val="11.0"/>
        <u/>
      </rPr>
      <t>https://x.gd/WVHGK</t>
    </r>
  </si>
  <si>
    <r>
      <rPr>
        <rFont val="Calibri, sans-serif"/>
        <color rgb="FF1155CC"/>
        <sz val="11.0"/>
        <u/>
      </rPr>
      <t>https://x.gd/LexWe</t>
    </r>
  </si>
  <si>
    <r>
      <rPr>
        <rFont val="Calibri, sans-serif"/>
        <color rgb="FF1155CC"/>
        <sz val="11.0"/>
        <u/>
      </rPr>
      <t>https://x.gd/Xsi6U</t>
    </r>
  </si>
  <si>
    <r>
      <rPr>
        <rFont val="Calibri, sans-serif"/>
        <color rgb="FF1155CC"/>
        <sz val="11.0"/>
        <u/>
      </rPr>
      <t>https://x.gd/UoHyj</t>
    </r>
  </si>
  <si>
    <r>
      <rPr>
        <rFont val="Calibri, sans-serif"/>
        <color rgb="FF1155CC"/>
        <sz val="11.0"/>
        <u/>
      </rPr>
      <t>https://x.gd/EKVwZ</t>
    </r>
  </si>
  <si>
    <r>
      <rPr>
        <rFont val="Calibri, sans-serif"/>
        <color rgb="FF1155CC"/>
        <sz val="11.0"/>
        <u/>
      </rPr>
      <t>https://x.gd/Fzeni</t>
    </r>
  </si>
  <si>
    <r>
      <rPr>
        <rFont val="Calibri, sans-serif"/>
        <color rgb="FF1155CC"/>
        <sz val="11.0"/>
        <u/>
      </rPr>
      <t>https://x.gd/JXKPj</t>
    </r>
  </si>
  <si>
    <r>
      <rPr>
        <rFont val="Calibri, sans-serif"/>
        <color rgb="FF1155CC"/>
        <sz val="11.0"/>
        <u/>
      </rPr>
      <t>https://x.gd/utTW5</t>
    </r>
  </si>
  <si>
    <r>
      <rPr>
        <rFont val="Calibri, sans-serif"/>
        <color rgb="FF1155CC"/>
        <sz val="11.0"/>
        <u/>
      </rPr>
      <t>https://x.gd/saNe2Y</t>
    </r>
  </si>
  <si>
    <r>
      <rPr>
        <rFont val="Calibri, sans-serif"/>
        <color rgb="FF1155CC"/>
        <sz val="11.0"/>
        <u/>
      </rPr>
      <t>https://x.gd/aWOqN</t>
    </r>
  </si>
  <si>
    <r>
      <rPr>
        <rFont val="Calibri, sans-serif"/>
        <color rgb="FF1155CC"/>
        <sz val="11.0"/>
        <u/>
      </rPr>
      <t>https://x.gd/tPlTS</t>
    </r>
  </si>
  <si>
    <r>
      <rPr>
        <rFont val="Calibri, sans-serif"/>
        <color rgb="FF1155CC"/>
        <sz val="11.0"/>
        <u/>
      </rPr>
      <t>https://x.gd/dy6cC</t>
    </r>
  </si>
  <si>
    <r>
      <rPr>
        <rFont val="Calibri, sans-serif"/>
        <color rgb="FF1155CC"/>
        <sz val="11.0"/>
        <u/>
      </rPr>
      <t>https://x.gd/jshI5</t>
    </r>
  </si>
  <si>
    <r>
      <rPr>
        <rFont val="Calibri, sans-serif"/>
        <color rgb="FF1155CC"/>
        <sz val="11.0"/>
        <u/>
      </rPr>
      <t>https://x.gd/xW36Z</t>
    </r>
  </si>
  <si>
    <r>
      <rPr>
        <rFont val="Calibri, sans-serif"/>
        <color rgb="FF1155CC"/>
        <sz val="11.0"/>
        <u/>
      </rPr>
      <t>https://x.gd/81rju</t>
    </r>
  </si>
  <si>
    <r>
      <rPr>
        <rFont val="Calibri, sans-serif"/>
        <color rgb="FF1155CC"/>
        <sz val="11.0"/>
        <u/>
      </rPr>
      <t>https://x.gd/nQW3p</t>
    </r>
  </si>
  <si>
    <r>
      <rPr>
        <rFont val="Calibri, sans-serif"/>
        <color rgb="FF1155CC"/>
        <sz val="11.0"/>
        <u/>
      </rPr>
      <t>https://x.gd/pOCoD</t>
    </r>
  </si>
  <si>
    <r>
      <rPr>
        <rFont val="Calibri, sans-serif"/>
        <color rgb="FF1155CC"/>
        <sz val="11.0"/>
        <u/>
      </rPr>
      <t>https://x.gd/7qaCQ</t>
    </r>
  </si>
  <si>
    <r>
      <rPr>
        <rFont val="Calibri, sans-serif"/>
        <color rgb="FF1155CC"/>
        <sz val="11.0"/>
        <u/>
      </rPr>
      <t>https://x.gd/c4FKA</t>
    </r>
  </si>
  <si>
    <r>
      <rPr>
        <rFont val="Calibri, sans-serif"/>
        <color rgb="FF1155CC"/>
        <sz val="11.0"/>
        <u/>
      </rPr>
      <t>https://x.gd/p7WqA</t>
    </r>
  </si>
  <si>
    <r>
      <rPr>
        <rFont val="Calibri, sans-serif"/>
        <color rgb="FF1155CC"/>
        <sz val="11.0"/>
        <u/>
      </rPr>
      <t>https://x.gd/7EDKM</t>
    </r>
  </si>
  <si>
    <r>
      <rPr>
        <rFont val="Calibri, sans-serif"/>
        <color rgb="FF1155CC"/>
        <sz val="11.0"/>
        <u/>
      </rPr>
      <t>https://x.gd/5S8zc</t>
    </r>
  </si>
  <si>
    <r>
      <rPr>
        <rFont val="Calibri, sans-serif"/>
        <color rgb="FF1155CC"/>
        <sz val="11.0"/>
        <u/>
      </rPr>
      <t>https://x.gd/fnC7z</t>
    </r>
  </si>
  <si>
    <r>
      <rPr>
        <rFont val="Calibri, sans-serif"/>
        <color rgb="FF1155CC"/>
        <sz val="11.0"/>
        <u/>
      </rPr>
      <t>https://x.gd/0pOCn</t>
    </r>
  </si>
  <si>
    <r>
      <rPr>
        <rFont val="Calibri, sans-serif"/>
        <color rgb="FF1155CC"/>
        <sz val="11.0"/>
        <u/>
      </rPr>
      <t>https://x.gd/wRgAe</t>
    </r>
  </si>
  <si>
    <r>
      <rPr>
        <rFont val="Calibri, sans-serif"/>
        <color rgb="FF1155CC"/>
        <sz val="11.0"/>
        <u/>
      </rPr>
      <t>https://x.gd/HDrro</t>
    </r>
  </si>
  <si>
    <r>
      <rPr>
        <rFont val="Calibri, sans-serif"/>
        <color rgb="FF1155CC"/>
        <sz val="11.0"/>
        <u/>
      </rPr>
      <t>https://x.gd/P36FG</t>
    </r>
  </si>
  <si>
    <r>
      <rPr>
        <rFont val="Calibri, sans-serif"/>
        <color rgb="FF1155CC"/>
        <sz val="11.0"/>
        <u/>
      </rPr>
      <t>https://x.gd/hr4vD</t>
    </r>
  </si>
  <si>
    <r>
      <rPr>
        <rFont val="Calibri, sans-serif"/>
        <color rgb="FF1155CC"/>
        <sz val="11.0"/>
        <u/>
      </rPr>
      <t>https://x.gd/oB5oH</t>
    </r>
  </si>
  <si>
    <r>
      <rPr>
        <rFont val="Calibri, sans-serif"/>
        <color rgb="FF1155CC"/>
        <sz val="11.0"/>
        <u/>
      </rPr>
      <t>https://x.gd/r3FYG</t>
    </r>
  </si>
  <si>
    <r>
      <rPr>
        <rFont val="Calibri, sans-serif"/>
        <color rgb="FF1155CC"/>
        <sz val="11.0"/>
        <u/>
      </rPr>
      <t>https://x.gd/tzIpx</t>
    </r>
  </si>
  <si>
    <r>
      <rPr>
        <rFont val="Calibri, sans-serif"/>
        <color rgb="FF1155CC"/>
        <sz val="11.0"/>
        <u/>
      </rPr>
      <t>https://x.gd/oOfK5</t>
    </r>
  </si>
  <si>
    <r>
      <rPr>
        <rFont val="Calibri, sans-serif"/>
        <color rgb="FF1155CC"/>
        <sz val="11.0"/>
        <u/>
      </rPr>
      <t>https://x.gd/3QcwW</t>
    </r>
  </si>
  <si>
    <r>
      <rPr>
        <rFont val="Calibri, sans-serif"/>
        <color rgb="FF1155CC"/>
        <sz val="11.0"/>
        <u/>
      </rPr>
      <t>https://x.gd/RsiME</t>
    </r>
  </si>
  <si>
    <r>
      <rPr>
        <rFont val="Calibri, sans-serif"/>
        <color rgb="FF1155CC"/>
        <sz val="11.0"/>
        <u/>
      </rPr>
      <t>https://x.gd/3pALb</t>
    </r>
  </si>
  <si>
    <r>
      <rPr>
        <rFont val="Calibri, sans-serif"/>
        <color rgb="FF1155CC"/>
        <sz val="11.0"/>
        <u/>
      </rPr>
      <t>https://x.gd/dphkr</t>
    </r>
  </si>
  <si>
    <r>
      <rPr>
        <rFont val="Calibri, sans-serif"/>
        <color rgb="FF1155CC"/>
        <sz val="11.0"/>
        <u/>
      </rPr>
      <t>https://x.gd/TeNS4</t>
    </r>
  </si>
  <si>
    <r>
      <rPr>
        <rFont val="Calibri, sans-serif"/>
        <color rgb="FF1155CC"/>
        <sz val="11.0"/>
        <u/>
      </rPr>
      <t>https://x.gd/XKAqc</t>
    </r>
  </si>
  <si>
    <r>
      <rPr>
        <rFont val="Calibri, sans-serif"/>
        <color rgb="FF1155CC"/>
        <sz val="11.0"/>
        <u/>
      </rPr>
      <t>https://x.gd/N9R41</t>
    </r>
  </si>
  <si>
    <r>
      <rPr>
        <rFont val="Calibri, sans-serif"/>
        <color rgb="FF1155CC"/>
        <sz val="11.0"/>
        <u/>
      </rPr>
      <t>https://x.gd/DUIn8</t>
    </r>
  </si>
  <si>
    <r>
      <rPr>
        <rFont val="Calibri, sans-serif"/>
        <color rgb="FF1155CC"/>
        <sz val="11.0"/>
        <u/>
      </rPr>
      <t>https://x.gd/dUU6Q</t>
    </r>
  </si>
  <si>
    <r>
      <rPr>
        <rFont val="Calibri, sans-serif"/>
        <color rgb="FF1155CC"/>
        <sz val="11.0"/>
        <u/>
      </rPr>
      <t>https://x.gd/hN3J9</t>
    </r>
  </si>
  <si>
    <r>
      <rPr>
        <rFont val="Calibri, sans-serif"/>
        <color rgb="FF1155CC"/>
        <sz val="11.0"/>
        <u/>
      </rPr>
      <t>https://x.gd/d5M177</t>
    </r>
  </si>
  <si>
    <r>
      <rPr>
        <rFont val="Calibri, sans-serif"/>
        <color rgb="FF1155CC"/>
        <sz val="11.0"/>
        <u/>
      </rPr>
      <t>https://x.gd/f9n6w</t>
    </r>
  </si>
  <si>
    <r>
      <rPr>
        <rFont val="Calibri, sans-serif"/>
        <color rgb="FF1155CC"/>
        <sz val="11.0"/>
        <u/>
      </rPr>
      <t>https://x.gd/GzN3O</t>
    </r>
  </si>
  <si>
    <r>
      <rPr>
        <rFont val="Calibri, sans-serif"/>
        <color rgb="FF1155CC"/>
        <sz val="11.0"/>
        <u/>
      </rPr>
      <t>https://x.gd/AxN2g</t>
    </r>
  </si>
  <si>
    <r>
      <rPr>
        <rFont val="Calibri, sans-serif"/>
        <color rgb="FF1155CC"/>
        <sz val="11.0"/>
        <u/>
      </rPr>
      <t>https://x.gd/I6pbP</t>
    </r>
  </si>
  <si>
    <r>
      <rPr>
        <rFont val="Calibri, sans-serif"/>
        <color rgb="FF1155CC"/>
        <sz val="11.0"/>
        <u/>
      </rPr>
      <t>https://x.gd/QWTKH</t>
    </r>
  </si>
  <si>
    <r>
      <rPr>
        <rFont val="Calibri, sans-serif"/>
        <color rgb="FF1155CC"/>
        <sz val="11.0"/>
        <u/>
      </rPr>
      <t>https://x.gd/aPl5G</t>
    </r>
  </si>
  <si>
    <r>
      <rPr>
        <rFont val="Calibri, sans-serif"/>
        <color rgb="FF1155CC"/>
        <sz val="11.0"/>
        <u/>
      </rPr>
      <t>https://x.gd/NNLc4</t>
    </r>
  </si>
  <si>
    <r>
      <rPr>
        <rFont val="Calibri, sans-serif"/>
        <color rgb="FF1155CC"/>
        <sz val="11.0"/>
        <u/>
      </rPr>
      <t>https://x.gd/RIkCo</t>
    </r>
  </si>
  <si>
    <r>
      <rPr>
        <rFont val="Calibri, sans-serif"/>
        <color rgb="FF1155CC"/>
        <sz val="11.0"/>
        <u/>
      </rPr>
      <t>https://x.gd/CyiTH</t>
    </r>
  </si>
  <si>
    <r>
      <rPr>
        <rFont val="Calibri, sans-serif"/>
        <color rgb="FF1155CC"/>
        <sz val="11.0"/>
        <u/>
      </rPr>
      <t>https://x.gd/lseLK</t>
    </r>
  </si>
  <si>
    <r>
      <rPr>
        <rFont val="Calibri, sans-serif"/>
        <color rgb="FF1155CC"/>
        <sz val="11.0"/>
        <u/>
      </rPr>
      <t>https://x.gd/c3pAX</t>
    </r>
  </si>
  <si>
    <r>
      <rPr>
        <rFont val="Calibri, sans-serif"/>
        <color rgb="FF1155CC"/>
        <sz val="11.0"/>
        <u/>
      </rPr>
      <t>https://x.gd/mseG6</t>
    </r>
  </si>
  <si>
    <r>
      <rPr>
        <rFont val="Arial, sans-serif"/>
        <color rgb="FF1155CC"/>
        <u/>
      </rPr>
      <t>\\192.168.12.202\Zkteco\Documentos ZKTeco\06. Produtos\1. Controle de acesso de pessoas\1. Biométricos, RFID e QRCode\ProMA</t>
    </r>
  </si>
  <si>
    <r>
      <rPr>
        <rFont val="Calibri, sans-serif"/>
        <color rgb="FF1155CC"/>
        <sz val="11.0"/>
        <u/>
      </rPr>
      <t>https://x.gd/dfTkm</t>
    </r>
  </si>
  <si>
    <r>
      <rPr>
        <rFont val="Calibri, sans-serif"/>
        <color rgb="FF1155CC"/>
        <sz val="11.0"/>
        <u/>
      </rPr>
      <t>https://x.gd/yvtVL</t>
    </r>
  </si>
  <si>
    <r>
      <rPr>
        <rFont val="Calibri, sans-serif"/>
        <color rgb="FF1155CC"/>
        <sz val="11.0"/>
        <u/>
      </rPr>
      <t>https://x.gd/sLOJQ</t>
    </r>
  </si>
  <si>
    <r>
      <rPr>
        <rFont val="Calibri, sans-serif"/>
        <color rgb="FF1155CC"/>
        <sz val="11.0"/>
        <u/>
      </rPr>
      <t>https://x.gd/l8RJO</t>
    </r>
  </si>
  <si>
    <r>
      <rPr>
        <rFont val="Calibri, sans-serif"/>
        <color rgb="FF1155CC"/>
        <sz val="11.0"/>
        <u/>
      </rPr>
      <t>https://x.gd/iZgpR</t>
    </r>
  </si>
  <si>
    <r>
      <rPr>
        <rFont val="Calibri, sans-serif"/>
        <color rgb="FF1155CC"/>
        <sz val="11.0"/>
        <u/>
      </rPr>
      <t>https://x.gd/AlM2U</t>
    </r>
  </si>
  <si>
    <r>
      <rPr>
        <rFont val="Calibri, sans-serif"/>
        <color rgb="FF1155CC"/>
        <sz val="11.0"/>
        <u/>
      </rPr>
      <t>https://x.gd/7kv9n</t>
    </r>
  </si>
  <si>
    <r>
      <rPr>
        <rFont val="Calibri, sans-serif"/>
        <color rgb="FF1155CC"/>
        <sz val="11.0"/>
        <u/>
      </rPr>
      <t>https://x.gd/lZ6KH</t>
    </r>
  </si>
  <si>
    <r>
      <rPr>
        <rFont val="Calibri, sans-serif"/>
        <color rgb="FF1155CC"/>
        <sz val="11.0"/>
        <u/>
      </rPr>
      <t>https://x.gd/UcXGg</t>
    </r>
  </si>
  <si>
    <r>
      <rPr>
        <rFont val="Calibri, sans-serif"/>
        <color rgb="FF1155CC"/>
        <sz val="11.0"/>
        <u/>
      </rPr>
      <t>https://x.gd/7ZECc</t>
    </r>
  </si>
  <si>
    <r>
      <rPr>
        <rFont val="Calibri, sans-serif"/>
        <color rgb="FF1155CC"/>
        <sz val="11.0"/>
        <u/>
      </rPr>
      <t>https://x.gd/IWRjf</t>
    </r>
  </si>
  <si>
    <r>
      <rPr>
        <rFont val="Calibri, sans-serif"/>
        <color rgb="FF1155CC"/>
        <sz val="11.0"/>
        <u/>
      </rPr>
      <t>https://x.gd/IgZap</t>
    </r>
  </si>
  <si>
    <r>
      <rPr>
        <rFont val="Calibri, sans-serif"/>
        <color rgb="FF1155CC"/>
        <sz val="11.0"/>
        <u/>
      </rPr>
      <t>https://x.gd/qhlEE</t>
    </r>
  </si>
  <si>
    <r>
      <rPr>
        <rFont val="Calibri, sans-serif"/>
        <color rgb="FF1155CC"/>
        <sz val="11.0"/>
        <u/>
      </rPr>
      <t>https://x.gd/NHkVf</t>
    </r>
  </si>
  <si>
    <r>
      <rPr>
        <rFont val="Calibri, sans-serif"/>
        <color rgb="FF1155CC"/>
        <sz val="11.0"/>
        <u/>
      </rPr>
      <t>https://x.gd/SGZhM</t>
    </r>
  </si>
  <si>
    <r>
      <rPr>
        <rFont val="Calibri, sans-serif"/>
        <color rgb="FF1155CC"/>
        <sz val="11.0"/>
        <u/>
      </rPr>
      <t>https://x.gd/VpgLO</t>
    </r>
  </si>
  <si>
    <r>
      <rPr>
        <rFont val="Calibri, sans-serif"/>
        <color rgb="FF1155CC"/>
        <sz val="11.0"/>
        <u/>
      </rPr>
      <t>https://x.gd/96yRQ</t>
    </r>
  </si>
  <si>
    <r>
      <rPr>
        <rFont val="Calibri, sans-serif"/>
        <color rgb="FF1155CC"/>
        <sz val="11.0"/>
        <u/>
      </rPr>
      <t>https://x.gd/3SJEA</t>
    </r>
  </si>
  <si>
    <r>
      <rPr>
        <rFont val="Calibri, sans-serif"/>
        <color rgb="FF1155CC"/>
        <sz val="11.0"/>
        <u/>
      </rPr>
      <t>https://x.gd/P9rWl</t>
    </r>
  </si>
  <si>
    <r>
      <rPr>
        <rFont val="Calibri, sans-serif"/>
        <color rgb="FF1155CC"/>
        <sz val="11.0"/>
        <u/>
      </rPr>
      <t>https://x.gd/k4Zlp</t>
    </r>
  </si>
  <si>
    <r>
      <rPr>
        <rFont val="Calibri, sans-serif"/>
        <color rgb="FF1155CC"/>
        <sz val="11.0"/>
        <u/>
      </rPr>
      <t>https://x.gd/WU2sm</t>
    </r>
  </si>
  <si>
    <r>
      <rPr>
        <rFont val="Calibri, sans-serif"/>
        <color rgb="FF1155CC"/>
        <sz val="11.0"/>
        <u/>
      </rPr>
      <t>https://x.gd/KNYpG</t>
    </r>
  </si>
  <si>
    <r>
      <rPr>
        <rFont val="Calibri, sans-serif"/>
        <color rgb="FF1155CC"/>
        <sz val="11.0"/>
        <u/>
      </rPr>
      <t>https://x.gd/sNoYY</t>
    </r>
  </si>
  <si>
    <r>
      <rPr>
        <rFont val="Calibri, sans-serif"/>
        <color rgb="FF1155CC"/>
        <sz val="11.0"/>
        <u/>
      </rPr>
      <t>https://x.gd/OFIDL</t>
    </r>
  </si>
  <si>
    <r>
      <rPr>
        <rFont val="Calibri, sans-serif"/>
        <color rgb="FF1155CC"/>
        <sz val="11.0"/>
        <u/>
      </rPr>
      <t>https://x.gd/xPQo7</t>
    </r>
  </si>
  <si>
    <r>
      <rPr>
        <rFont val="Calibri, sans-serif"/>
        <color rgb="FF1155CC"/>
        <sz val="11.0"/>
        <u/>
      </rPr>
      <t>https://x.gd/JYIS6</t>
    </r>
  </si>
  <si>
    <r>
      <rPr>
        <rFont val="Calibri, sans-serif"/>
        <color rgb="FF1155CC"/>
        <sz val="11.0"/>
        <u/>
      </rPr>
      <t>https://x.gd/kGDgP</t>
    </r>
  </si>
  <si>
    <r>
      <rPr>
        <rFont val="Calibri, sans-serif"/>
        <color rgb="FF1155CC"/>
        <sz val="11.0"/>
        <u/>
      </rPr>
      <t>https://x.gd/schbV</t>
    </r>
  </si>
  <si>
    <r>
      <rPr>
        <rFont val="Calibri, sans-serif"/>
        <color rgb="FF1155CC"/>
        <sz val="11.0"/>
        <u/>
      </rPr>
      <t>https://x.gd/r1SY5</t>
    </r>
  </si>
  <si>
    <r>
      <rPr>
        <rFont val="Calibri, sans-serif"/>
        <color rgb="FF1155CC"/>
        <sz val="11.0"/>
        <u/>
      </rPr>
      <t>https://x.gd/FhhgH</t>
    </r>
  </si>
  <si>
    <r>
      <rPr>
        <rFont val="Calibri, sans-serif"/>
        <color rgb="FF1155CC"/>
        <sz val="11.0"/>
        <u/>
      </rPr>
      <t>https://x.gd/Ub2rS</t>
    </r>
  </si>
  <si>
    <r>
      <rPr>
        <rFont val="Calibri, sans-serif"/>
        <color rgb="FF1155CC"/>
        <sz val="11.0"/>
        <u/>
      </rPr>
      <t>https://x.gd/sHSX0</t>
    </r>
  </si>
  <si>
    <r>
      <rPr>
        <rFont val="Calibri, sans-serif"/>
        <color rgb="FF1155CC"/>
        <sz val="11.0"/>
        <u/>
      </rPr>
      <t>https://x.gd/aCMMK</t>
    </r>
  </si>
  <si>
    <r>
      <rPr>
        <rFont val="Calibri, sans-serif"/>
        <color rgb="FF1155CC"/>
        <sz val="11.0"/>
        <u/>
      </rPr>
      <t>https://x.gd/ZDG6o</t>
    </r>
  </si>
  <si>
    <r>
      <rPr>
        <rFont val="Calibri, sans-serif"/>
        <color rgb="FF1155CC"/>
        <sz val="11.0"/>
        <u/>
      </rPr>
      <t>https://x.gd/6BpiK</t>
    </r>
  </si>
  <si>
    <r>
      <rPr>
        <rFont val="Calibri, sans-serif"/>
        <color rgb="FF1155CC"/>
        <sz val="11.0"/>
        <u/>
      </rPr>
      <t>https://x.gd/wK69j</t>
    </r>
  </si>
  <si>
    <r>
      <rPr>
        <rFont val="Calibri, sans-serif"/>
        <color rgb="FF1155CC"/>
        <sz val="11.0"/>
        <u/>
      </rPr>
      <t>https://x.gd/GOYYE</t>
    </r>
  </si>
  <si>
    <t>ISO14001, ISO9001,CE, FCC, RoHS</t>
  </si>
  <si>
    <r>
      <rPr>
        <rFont val="Calibri, sans-serif"/>
        <color rgb="FF1155CC"/>
        <sz val="11.0"/>
        <u/>
      </rPr>
      <t>https://x.gd/ozfng</t>
    </r>
  </si>
  <si>
    <r>
      <rPr>
        <rFont val="Calibri, sans-serif"/>
        <color rgb="FF1155CC"/>
        <sz val="11.0"/>
        <u/>
      </rPr>
      <t>https://x.gd/sa2G4</t>
    </r>
  </si>
  <si>
    <r>
      <rPr>
        <rFont val="Calibri, sans-serif"/>
        <color rgb="FF1155CC"/>
        <sz val="11.0"/>
        <u/>
      </rPr>
      <t>https://x.gd/XjsGH</t>
    </r>
  </si>
  <si>
    <r>
      <rPr>
        <rFont val="Calibri, sans-serif"/>
        <color rgb="FF1155CC"/>
        <sz val="11.0"/>
        <u/>
      </rPr>
      <t>https://x.gd/vq9LD</t>
    </r>
  </si>
  <si>
    <r>
      <rPr>
        <rFont val="Calibri, sans-serif"/>
        <color rgb="FF1155CC"/>
        <sz val="11.0"/>
        <u/>
      </rPr>
      <t>https://x.gd/nuadW</t>
    </r>
  </si>
  <si>
    <r>
      <rPr>
        <rFont val="Calibri, sans-serif"/>
        <color rgb="FF1155CC"/>
        <sz val="11.0"/>
        <u/>
      </rPr>
      <t>https://x.gd/OgG6B</t>
    </r>
  </si>
  <si>
    <t>Observações Lucas</t>
  </si>
  <si>
    <t>TERMO DE REFERÊNCIA: Para a Aquisição de Controladora de Reconhecimento Facial e Acesso Biométrico</t>
  </si>
  <si>
    <t>Número do Processo Licitatório:</t>
  </si>
  <si>
    <r>
      <rPr>
        <rFont val="Arial"/>
        <b/>
        <color theme="1"/>
      </rPr>
      <t>Objeto:</t>
    </r>
    <r>
      <rPr>
        <rFont val="Arial"/>
        <b val="0"/>
        <color theme="1"/>
      </rPr>
      <t xml:space="preserve"> Registro de Preços para Fornecimento de Controladora de Reconhecimento Facial de Alta Performance, modelo </t>
    </r>
  </si>
  <si>
    <t>ou similar que atenda a todas as especificações técnicas deste Termo de Referência.</t>
  </si>
  <si>
    <t>1. OBJETO DO TERMO DE REFERÊNCIA</t>
  </si>
  <si>
    <t>Este Termo de Referência tem por objetivo estabelecer as especificações técnicas mínimas necessárias para a aquisição de Controladora de Reconhecimento Facial e Acesso Biométrico, destinada ao controle de acesso inteligente, garantindo identificação rápida, segura e precisa.</t>
  </si>
  <si>
    <t>2. ESPECIFICAÇÕES TÉCNICAS MÍNIMAS OBRIGATÓRIAS</t>
  </si>
  <si>
    <t>O equipamento oferecido deve atender integralmente às seguintes especificações:</t>
  </si>
  <si>
    <t>Característica</t>
  </si>
  <si>
    <t>Especificação Mínima Obrigatória</t>
  </si>
  <si>
    <t>Modelo de Referência</t>
  </si>
  <si>
    <t>Tipo de Equipamento</t>
  </si>
  <si>
    <t>Controladora de Acesso Inteligente com Reconhecimento Facial.</t>
  </si>
  <si>
    <t>Memória (RAM)</t>
  </si>
  <si>
    <t>Armazenamento Interno</t>
  </si>
  <si>
    <t>opcional de cartões IC</t>
  </si>
  <si>
    <t>Capacidade de Cadastro</t>
  </si>
  <si>
    <t>Cadastro de usuários diretamente no dispositivo, via software de gestão e/ou através de sincronização com servidor.</t>
  </si>
  <si>
    <t>Acessórios Inclusos Obrigatórios</t>
  </si>
  <si>
    <t>• 1x Fonte de alimentação 12V/2A.</t>
  </si>
  <si>
    <t>• 1x Suporte de montagem para parede.</t>
  </si>
  <si>
    <t>• 1x Manual do usuário em português.</t>
  </si>
  <si>
    <t>3. ITENS E CONDIÇÕES DE FORNECIMENTO:</t>
  </si>
  <si>
    <t>Quantidade:</t>
  </si>
  <si>
    <t xml:space="preserve">Prazo de Entrega: </t>
  </si>
  <si>
    <t>Local de Entrega:</t>
  </si>
  <si>
    <t>Garantia: 12 (doze) meses contra defeitos de fabricação, a contar da data de instalação e aceitação do equipamento. O fornecedor deverá oferecer suporte técnico remoto durante o período de garantia.</t>
  </si>
  <si>
    <t>4. DOCUMENTAÇÃO EXIGIDA (para entrega com o produto):</t>
  </si>
  <si>
    <t>Nota Fiscal detalhando o modelo e número de série;</t>
  </si>
  <si>
    <t>Manual de instalação, operação e configuração em Língua Portuguesa;</t>
  </si>
  <si>
    <t>Certificado de Garantia;</t>
  </si>
  <si>
    <t>Certificado de Homologação da ANATEL;</t>
  </si>
  <si>
    <t>5. SERVIÇOS COMPLEMENTARES (se aplicável)</t>
  </si>
  <si>
    <t>O fornecedor deverá oferecer, opcionalmente ou conforme edital, treinamento básico de operação e configuração com duração mínima de 4 horas.</t>
  </si>
  <si>
    <t>6. CRITÉRIOS DE ACEITAÇÃO</t>
  </si>
  <si>
    <t>Os equipamentos serão submetidos a testes de verificação de conformidade com as especificações deste Termo de Referência. A não conformidade com qualquer item obrigatório listado no Item 2 implicará na rejeição do lote e sua substituição por parte do fornecedor, sem quaisquer ônus para a administração.</t>
  </si>
  <si>
    <t>Observação Importante sobre "ou Similar":</t>
  </si>
  <si>
    <t>A menção "ou similar" neste Termo de Referência significa que serão aceitos equipamentos de outros fabricantes e modelos, desde que atendam ou superem integralmente todas as especificações técnicas mínimas e obrigatórias detalhadas na tabela do Item 2, comprovadas através de datasheets oficiais e manuais técnicos. O ônus da prova da equivalência técnica é exclusivamente do licitante.</t>
  </si>
  <si>
    <t>Elaborado por:</t>
  </si>
  <si>
    <t>Data:</t>
  </si>
  <si>
    <t>_____________________________________________________________________________________________________________________________</t>
  </si>
  <si>
    <t>ZK Tecnologia do Brasil LTDA</t>
  </si>
  <si>
    <t>Rodovia MG-010 KM 26 Loteamento 12</t>
  </si>
  <si>
    <t>Bairro Angicos – Vespasiano – MG</t>
  </si>
  <si>
    <t>CEP: 30.206-240 Tel: +5531 2515.8326</t>
  </si>
  <si>
    <r>
      <rPr>
        <rFont val="&quot;Myriad Pro&quot;,sans-serif"/>
        <color rgb="FF1155CC"/>
        <u/>
      </rPr>
      <t>www.zk</t>
    </r>
    <r>
      <rPr>
        <rFont val="&quot;Myriad Pro&quot;,sans-serif"/>
      </rPr>
      <t/>
    </r>
    <r>
      <rPr>
        <rFont val="&quot;Myriad Pro&quot;,sans-serif"/>
        <color rgb="FF1155CC"/>
        <u/>
      </rPr>
      <t>teco</t>
    </r>
    <r>
      <rPr>
        <rFont val="&quot;Myriad Pro&quot;,sans-serif"/>
      </rPr>
      <t/>
    </r>
    <r>
      <rPr>
        <rFont val="&quot;Myriad Pro&quot;,sans-serif"/>
        <color rgb="FF1155CC"/>
        <u/>
      </rPr>
      <t>.com.br</t>
    </r>
  </si>
  <si>
    <r>
      <rPr>
        <rFont val="Arial"/>
        <b/>
        <color theme="1"/>
      </rPr>
      <t>Objeto:</t>
    </r>
    <r>
      <rPr>
        <rFont val="Arial"/>
        <b val="0"/>
        <color theme="1"/>
      </rPr>
      <t xml:space="preserve"> Registro de Preços para Fornecimento de Controladora de Reconhecimento Facial de Alta Performance, modelo </t>
    </r>
  </si>
  <si>
    <t>Controladora de Acesso Inteligente com Reconhecimento Facial dedicado.</t>
  </si>
  <si>
    <t>Câmera para Reconhecimento</t>
  </si>
  <si>
    <t>• Resolução: Mínimo de 2 Megapixels (1080p Full HD).</t>
  </si>
  <si>
    <t>• Lente: Grande angular com ângulo de visão (FOV) ≥ 75°.</t>
  </si>
  <si>
    <t>• Iluminação Adaptativa: Tecnologia de compensação de luz para reconhecimento em condições variáveis de iluminação.</t>
  </si>
  <si>
    <t>Sensor Biométrico</t>
  </si>
  <si>
    <t>Sensor óptico para captura de impressão digital. Capacidade para armazenar 5.000 digitais.</t>
  </si>
  <si>
    <t>Métodos de Verificação</t>
  </si>
  <si>
    <t>Múltiplos e combináveis: Reconhecimento Facial, Impressão Digital, Senha, Cartão RFID (Proximidade/MIFARE) e combinações dos mesmos (ex: face + digital).</t>
  </si>
  <si>
    <t>Comunicação e Interfaces</t>
  </si>
  <si>
    <t>• Porta de Rede: 1x porta RJ45, 10/100/1000 Mbps (Gigabit Ethernet).</t>
  </si>
  <si>
    <t>• Comunicação Sem Fio: Wi-Fi integrado (802.11 b/g/n/ac) e Bluetooth.</t>
  </si>
  <si>
    <t>• Portas de Entrada/Saída (E/S): 4 entradas para sensores (ex: porta aberta), 4 saídas para relé (ex: acionamento de fechadura).</t>
  </si>
  <si>
    <t>• Interface de Rede: Protocolo TCP/IP.</t>
  </si>
  <si>
    <t>Conectores</t>
  </si>
  <si>
    <t>• Leitor de Cartões: Interface Wiegand de 26 bits (e superior).</t>
  </si>
  <si>
    <t>• Fonte de Alimentação: Conector de parafuso para fonte 12V DC.</t>
  </si>
  <si>
    <t>• Saída de Áudio: Alto-falante interno para avisos de voz e prompts.</t>
  </si>
  <si>
    <t>• Botões: Teclado embutido para inserção de senha e navegação.</t>
  </si>
  <si>
    <t>Tela de toque (touch screen) colorida, com dimensão mínima de 5 polegadas e resolução mínima de 1280x720 pixels (HD).</t>
  </si>
  <si>
    <t>Desempenho de Reconhecimento</t>
  </si>
  <si>
    <t>• Tempo de Verificação: ≤ 0.3 segundos por face.</t>
  </si>
  <si>
    <t>• Taxa de Reconhecimento: ≥ 99% em condições de iluminação adequada.</t>
  </si>
  <si>
    <t>• Distância de Reconhecimento: Recomendada entre 0.3m e 1.5m.</t>
  </si>
  <si>
    <t>Condições de Operação</t>
  </si>
  <si>
    <t>• Temperatura: 0°C ~ 45°C.</t>
  </si>
  <si>
    <t>• Umidade: 20% ~ 80% RH (sem condensação).</t>
  </si>
  <si>
    <t>Alimentação Elétrica</t>
  </si>
  <si>
    <t>Tensão de entrada de 12V DC. Consumo energético inferior a 12W.</t>
  </si>
  <si>
    <t>Certificações</t>
  </si>
  <si>
    <t>Aparelho deve possuir certificação Anatel e INMETRO, devendo o licitante apresentar os certificados homologatórios no ato da habilitação técnica.</t>
  </si>
  <si>
    <t>Compatibilidade</t>
  </si>
  <si>
    <t>Deve ser compatível e integrável com os principais softwares de gestão de acesso do mercado (ex: BioTime, ZKBio Security) e permitir integração via SDK (Software Development Kit) para sistemas terceiros.</t>
  </si>
  <si>
    <t>Quantidade: [A SER PREENCHIDO PELA ADMINISTRAÇÃO] unidades.</t>
  </si>
  <si>
    <t>Prazo de Entrega: Máximo de 30 (trinta) dias corridos, a contar da data da assinatura do contrato ou da emissão da ordem de fornecimento.</t>
  </si>
  <si>
    <t>Local de Entrega: [A SER PREENCHIDO PELA ADMINISTRAÇÃO - Endereço completo].</t>
  </si>
  <si>
    <t>Garantia: 36 (trinta e seis) meses contra defeitos de fabricação, a contar da data de instalação e aceitação do equipamento. O fornecedor deverá oferecer suporte técnico remoto durante o período de garantia.</t>
  </si>
  <si>
    <t>Certificado de Homologação do INMETRO;</t>
  </si>
  <si>
    <t>O fornecedor deverá oferecer, opcionalmente ou conforme edital, treinamento básico de operação e configuração para até 3 servidores, com duração mínima de 4 horas.</t>
  </si>
  <si>
    <t>---</t>
  </si>
  <si>
    <t>Data: [Data de Elaboração]</t>
  </si>
  <si>
    <r>
      <rPr>
        <rFont val="&quot;Myriad Pro&quot;,sans-serif"/>
        <color rgb="FF1155CC"/>
        <u/>
      </rPr>
      <t>www.zk</t>
    </r>
    <r>
      <rPr>
        <rFont val="&quot;Myriad Pro&quot;,sans-serif"/>
      </rPr>
      <t/>
    </r>
    <r>
      <rPr>
        <rFont val="&quot;Myriad Pro&quot;,sans-serif"/>
        <color rgb="FF1155CC"/>
        <u/>
      </rPr>
      <t>teco</t>
    </r>
    <r>
      <rPr>
        <rFont val="&quot;Myriad Pro&quot;,sans-serif"/>
      </rPr>
      <t/>
    </r>
    <r>
      <rPr>
        <rFont val="&quot;Myriad Pro&quot;,sans-serif"/>
        <color rgb="FF1155CC"/>
        <u/>
      </rPr>
      <t>.com.br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</si>
</sst>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467886"/>
      <name val="Calibri"/>
    </font>
    <font>
      <u/>
      <sz val="11.0"/>
      <color rgb="FF467886"/>
      <name val="Calibri"/>
    </font>
    <font>
      <color theme="1"/>
      <name val="Arial"/>
    </font>
    <font>
      <sz val="11.0"/>
      <color theme="1"/>
      <name val="Calibri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b/>
      <sz val="11.0"/>
      <color rgb="FF404040"/>
      <name val="Calibri"/>
    </font>
    <font/>
    <font>
      <color rgb="FF6AA84F"/>
      <name val="Arial"/>
      <scheme val="minor"/>
    </font>
    <font>
      <color theme="1"/>
      <name val="&quot;Myriad Pro&quot;"/>
    </font>
    <font>
      <u/>
      <color rgb="FF0000FF"/>
      <name val="&quot;Myriad Pro&quot;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left" readingOrder="0" vertical="center"/>
    </xf>
    <xf borderId="1" fillId="3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1" fillId="4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3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vertical="center"/>
    </xf>
    <xf borderId="0" fillId="0" fontId="9" numFmtId="0" xfId="0" applyAlignment="1" applyFont="1">
      <alignment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ill="1" applyFont="1">
      <alignment horizontal="left" readingOrder="0" shrinkToFit="0" vertical="center" wrapText="1"/>
    </xf>
    <xf borderId="1" fillId="4" fontId="3" numFmtId="3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0" fillId="4" fontId="1" numFmtId="0" xfId="0" applyAlignment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0" fillId="0" fontId="13" numFmtId="0" xfId="0" applyAlignment="1" applyFont="1">
      <alignment readingOrder="0"/>
    </xf>
    <xf borderId="0" fillId="0" fontId="11" numFmtId="0" xfId="0" applyAlignment="1" applyFont="1">
      <alignment shrinkToFit="0" wrapText="1"/>
    </xf>
    <xf borderId="0" fillId="0" fontId="13" numFmtId="0" xfId="0" applyFont="1"/>
    <xf borderId="0" fillId="0" fontId="11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1" fillId="0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3" fillId="0" fontId="15" numFmtId="0" xfId="0" applyBorder="1" applyFont="1"/>
    <xf borderId="2" fillId="0" fontId="3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/>
    </xf>
    <xf borderId="2" fillId="0" fontId="3" numFmtId="3" xfId="0" applyAlignment="1" applyBorder="1" applyFont="1" applyNumberFormat="1">
      <alignment horizontal="left" readingOrder="0" shrinkToFit="0" vertical="center" wrapText="1"/>
    </xf>
    <xf borderId="0" fillId="0" fontId="11" numFmtId="0" xfId="0" applyAlignment="1" applyFont="1">
      <alignment horizontal="left" vertical="center"/>
    </xf>
    <xf borderId="0" fillId="0" fontId="11" numFmtId="3" xfId="0" applyAlignment="1" applyFont="1" applyNumberFormat="1">
      <alignment horizontal="left" vertical="center"/>
    </xf>
    <xf borderId="1" fillId="0" fontId="1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15" numFmtId="0" xfId="0" applyBorder="1" applyFont="1"/>
    <xf borderId="6" fillId="0" fontId="15" numFmtId="0" xfId="0" applyBorder="1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4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352425</xdr:rowOff>
    </xdr:from>
    <xdr:ext cx="5781675" cy="419100"/>
    <xdr:sp>
      <xdr:nvSpPr>
        <xdr:cNvPr id="3" name="Shape 3"/>
        <xdr:cNvSpPr txBox="1"/>
      </xdr:nvSpPr>
      <xdr:spPr>
        <a:xfrm>
          <a:off x="3132225" y="770550"/>
          <a:ext cx="57642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TERMO DE REFERÊNCIA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676525" cy="3238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352425</xdr:rowOff>
    </xdr:from>
    <xdr:ext cx="5781675" cy="419100"/>
    <xdr:sp>
      <xdr:nvSpPr>
        <xdr:cNvPr id="3" name="Shape 3"/>
        <xdr:cNvSpPr txBox="1"/>
      </xdr:nvSpPr>
      <xdr:spPr>
        <a:xfrm>
          <a:off x="3132225" y="770550"/>
          <a:ext cx="57642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TERMO DE REFERÊNCIA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933575" cy="238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gd/I6pbP" TargetMode="External"/><Relationship Id="rId42" Type="http://schemas.openxmlformats.org/officeDocument/2006/relationships/hyperlink" Target="https://x.gd/sLOJQ" TargetMode="External"/><Relationship Id="rId41" Type="http://schemas.openxmlformats.org/officeDocument/2006/relationships/hyperlink" Target="https://x.gd/c3pAX" TargetMode="External"/><Relationship Id="rId44" Type="http://schemas.openxmlformats.org/officeDocument/2006/relationships/hyperlink" Target="https://x.gd/KNYpG" TargetMode="External"/><Relationship Id="rId43" Type="http://schemas.openxmlformats.org/officeDocument/2006/relationships/hyperlink" Target="https://x.gd/SGZhM" TargetMode="External"/><Relationship Id="rId46" Type="http://schemas.openxmlformats.org/officeDocument/2006/relationships/hyperlink" Target="https://x.gd/ZDG6o" TargetMode="External"/><Relationship Id="rId45" Type="http://schemas.openxmlformats.org/officeDocument/2006/relationships/hyperlink" Target="https://x.gd/schbV" TargetMode="External"/><Relationship Id="rId48" Type="http://schemas.openxmlformats.org/officeDocument/2006/relationships/hyperlink" Target="https://x.gd/UoHyj" TargetMode="External"/><Relationship Id="rId47" Type="http://schemas.openxmlformats.org/officeDocument/2006/relationships/hyperlink" Target="https://x.gd/XjsGH" TargetMode="External"/><Relationship Id="rId49" Type="http://schemas.openxmlformats.org/officeDocument/2006/relationships/hyperlink" Target="https://x.gd/dy6cC" TargetMode="External"/><Relationship Id="rId31" Type="http://schemas.openxmlformats.org/officeDocument/2006/relationships/hyperlink" Target="https://x.gd/aCMMK" TargetMode="External"/><Relationship Id="rId30" Type="http://schemas.openxmlformats.org/officeDocument/2006/relationships/hyperlink" Target="https://x.gd/kGDgP" TargetMode="External"/><Relationship Id="rId33" Type="http://schemas.openxmlformats.org/officeDocument/2006/relationships/hyperlink" Target="https://x.gd/Xsi6U" TargetMode="External"/><Relationship Id="rId32" Type="http://schemas.openxmlformats.org/officeDocument/2006/relationships/hyperlink" Target="https://x.gd/sa2G4" TargetMode="External"/><Relationship Id="rId35" Type="http://schemas.openxmlformats.org/officeDocument/2006/relationships/hyperlink" Target="https://x.gd/7qaCQ" TargetMode="External"/><Relationship Id="rId34" Type="http://schemas.openxmlformats.org/officeDocument/2006/relationships/hyperlink" Target="https://x.gd/tPlTS" TargetMode="External"/><Relationship Id="rId37" Type="http://schemas.openxmlformats.org/officeDocument/2006/relationships/hyperlink" Target="https://x.gd/oB5oH" TargetMode="External"/><Relationship Id="rId36" Type="http://schemas.openxmlformats.org/officeDocument/2006/relationships/hyperlink" Target="https://x.gd/wRgAe" TargetMode="External"/><Relationship Id="rId39" Type="http://schemas.openxmlformats.org/officeDocument/2006/relationships/hyperlink" Target="https://x.gd/d5M177" TargetMode="External"/><Relationship Id="rId38" Type="http://schemas.openxmlformats.org/officeDocument/2006/relationships/hyperlink" Target="https://x.gd/dphkr" TargetMode="External"/><Relationship Id="rId20" Type="http://schemas.openxmlformats.org/officeDocument/2006/relationships/hyperlink" Target="https://x.gd/0pOCn" TargetMode="External"/><Relationship Id="rId22" Type="http://schemas.openxmlformats.org/officeDocument/2006/relationships/hyperlink" Target="https://x.gd/3pALb" TargetMode="External"/><Relationship Id="rId21" Type="http://schemas.openxmlformats.org/officeDocument/2006/relationships/hyperlink" Target="https://x.gd/hr4vD" TargetMode="External"/><Relationship Id="rId24" Type="http://schemas.openxmlformats.org/officeDocument/2006/relationships/hyperlink" Target="https://x.gd/AxN2g" TargetMode="External"/><Relationship Id="rId23" Type="http://schemas.openxmlformats.org/officeDocument/2006/relationships/hyperlink" Target="https://x.gd/hN3J9" TargetMode="External"/><Relationship Id="rId26" Type="http://schemas.openxmlformats.org/officeDocument/2006/relationships/hyperlink" Target="https://x.gd/yvtVL" TargetMode="External"/><Relationship Id="rId25" Type="http://schemas.openxmlformats.org/officeDocument/2006/relationships/hyperlink" Target="https://x.gd/lseLK" TargetMode="External"/><Relationship Id="rId28" Type="http://schemas.openxmlformats.org/officeDocument/2006/relationships/hyperlink" Target="https://x.gd/NHkVf" TargetMode="External"/><Relationship Id="rId27" Type="http://schemas.openxmlformats.org/officeDocument/2006/relationships/hyperlink" Target="https://x.gd/lZ6KH" TargetMode="External"/><Relationship Id="rId29" Type="http://schemas.openxmlformats.org/officeDocument/2006/relationships/hyperlink" Target="https://x.gd/WU2sm" TargetMode="External"/><Relationship Id="rId95" Type="http://schemas.openxmlformats.org/officeDocument/2006/relationships/hyperlink" Target="https://x.gd/RIkCo" TargetMode="External"/><Relationship Id="rId94" Type="http://schemas.openxmlformats.org/officeDocument/2006/relationships/hyperlink" Target="https://x.gd/DUIn8" TargetMode="External"/><Relationship Id="rId97" Type="http://schemas.openxmlformats.org/officeDocument/2006/relationships/hyperlink" Target="https://x.gd/IgZap" TargetMode="External"/><Relationship Id="rId96" Type="http://schemas.openxmlformats.org/officeDocument/2006/relationships/hyperlink" Target="https://x.gd/AlM2U" TargetMode="External"/><Relationship Id="rId11" Type="http://schemas.openxmlformats.org/officeDocument/2006/relationships/hyperlink" Target="https://x.gd/7kv9n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x.gd/dfTkm" TargetMode="External"/><Relationship Id="rId98" Type="http://schemas.openxmlformats.org/officeDocument/2006/relationships/hyperlink" Target="https://x.gd/P9rWl" TargetMode="External"/><Relationship Id="rId13" Type="http://schemas.openxmlformats.org/officeDocument/2006/relationships/hyperlink" Target="https://x.gd/k4Zlp" TargetMode="External"/><Relationship Id="rId12" Type="http://schemas.openxmlformats.org/officeDocument/2006/relationships/hyperlink" Target="https://x.gd/qhlEE" TargetMode="External"/><Relationship Id="rId91" Type="http://schemas.openxmlformats.org/officeDocument/2006/relationships/hyperlink" Target="https://x.gd/81rju" TargetMode="External"/><Relationship Id="rId90" Type="http://schemas.openxmlformats.org/officeDocument/2006/relationships/hyperlink" Target="https://x.gd/utTW5" TargetMode="External"/><Relationship Id="rId93" Type="http://schemas.openxmlformats.org/officeDocument/2006/relationships/hyperlink" Target="https://x.gd/3QcwW" TargetMode="External"/><Relationship Id="rId92" Type="http://schemas.openxmlformats.org/officeDocument/2006/relationships/hyperlink" Target="https://x.gd/5S8zc" TargetMode="External"/><Relationship Id="rId15" Type="http://schemas.openxmlformats.org/officeDocument/2006/relationships/hyperlink" Target="https://x.gd/sHSX0" TargetMode="External"/><Relationship Id="rId14" Type="http://schemas.openxmlformats.org/officeDocument/2006/relationships/hyperlink" Target="https://x.gd/JYIS6" TargetMode="External"/><Relationship Id="rId17" Type="http://schemas.openxmlformats.org/officeDocument/2006/relationships/hyperlink" Target="https://x.gd/LexWe" TargetMode="External"/><Relationship Id="rId16" Type="http://schemas.openxmlformats.org/officeDocument/2006/relationships/hyperlink" Target="https://x.gd/ozfng" TargetMode="External"/><Relationship Id="rId19" Type="http://schemas.openxmlformats.org/officeDocument/2006/relationships/hyperlink" Target="https://x.gd/pOCoD" TargetMode="External"/><Relationship Id="rId18" Type="http://schemas.openxmlformats.org/officeDocument/2006/relationships/hyperlink" Target="https://x.gd/aWOqN" TargetMode="External"/><Relationship Id="rId84" Type="http://schemas.openxmlformats.org/officeDocument/2006/relationships/hyperlink" Target="https://x.gd/GOYYE" TargetMode="External"/><Relationship Id="rId83" Type="http://schemas.openxmlformats.org/officeDocument/2006/relationships/hyperlink" Target="https://x.gd/Ub2rS" TargetMode="External"/><Relationship Id="rId86" Type="http://schemas.openxmlformats.org/officeDocument/2006/relationships/hyperlink" Target="https://x.gd/JXKPj" TargetMode="External"/><Relationship Id="rId85" Type="http://schemas.openxmlformats.org/officeDocument/2006/relationships/hyperlink" Target="https://x.gd/OgG6B" TargetMode="External"/><Relationship Id="rId88" Type="http://schemas.openxmlformats.org/officeDocument/2006/relationships/hyperlink" Target="https://x.gd/oOfK5" TargetMode="External"/><Relationship Id="rId87" Type="http://schemas.openxmlformats.org/officeDocument/2006/relationships/hyperlink" Target="https://x.gd/7EDKM" TargetMode="External"/><Relationship Id="rId89" Type="http://schemas.openxmlformats.org/officeDocument/2006/relationships/hyperlink" Target="https://x.gd/IWRjf" TargetMode="External"/><Relationship Id="rId80" Type="http://schemas.openxmlformats.org/officeDocument/2006/relationships/hyperlink" Target="https://x.gd/7ZECc" TargetMode="External"/><Relationship Id="rId82" Type="http://schemas.openxmlformats.org/officeDocument/2006/relationships/hyperlink" Target="https://x.gd/xPQo7" TargetMode="External"/><Relationship Id="rId81" Type="http://schemas.openxmlformats.org/officeDocument/2006/relationships/hyperlink" Target="https://x.gd/3SJEA" TargetMode="External"/><Relationship Id="rId1" Type="http://schemas.openxmlformats.org/officeDocument/2006/relationships/hyperlink" Target="https://x.gd/WVHGK" TargetMode="External"/><Relationship Id="rId2" Type="http://schemas.openxmlformats.org/officeDocument/2006/relationships/hyperlink" Target="https://x.gd/saNe2Y" TargetMode="External"/><Relationship Id="rId3" Type="http://schemas.openxmlformats.org/officeDocument/2006/relationships/hyperlink" Target="https://x.gd/nQW3p" TargetMode="External"/><Relationship Id="rId4" Type="http://schemas.openxmlformats.org/officeDocument/2006/relationships/hyperlink" Target="https://x.gd/fnC7z" TargetMode="External"/><Relationship Id="rId9" Type="http://schemas.openxmlformats.org/officeDocument/2006/relationships/hyperlink" Target="https://x.gd/CyiTH" TargetMode="External"/><Relationship Id="rId5" Type="http://schemas.openxmlformats.org/officeDocument/2006/relationships/hyperlink" Target="https://x.gd/P36FG" TargetMode="External"/><Relationship Id="rId6" Type="http://schemas.openxmlformats.org/officeDocument/2006/relationships/hyperlink" Target="https://x.gd/RsiME" TargetMode="External"/><Relationship Id="rId7" Type="http://schemas.openxmlformats.org/officeDocument/2006/relationships/hyperlink" Target="https://x.gd/dUU6Q" TargetMode="External"/><Relationship Id="rId8" Type="http://schemas.openxmlformats.org/officeDocument/2006/relationships/hyperlink" Target="https://x.gd/GzN3O" TargetMode="External"/><Relationship Id="rId73" Type="http://schemas.openxmlformats.org/officeDocument/2006/relationships/hyperlink" Target="https://x.gd/nuadW" TargetMode="External"/><Relationship Id="rId72" Type="http://schemas.openxmlformats.org/officeDocument/2006/relationships/hyperlink" Target="https://x.gd/wK69j" TargetMode="External"/><Relationship Id="rId75" Type="http://schemas.openxmlformats.org/officeDocument/2006/relationships/hyperlink" Target="https://x.gd/xW36Z" TargetMode="External"/><Relationship Id="rId74" Type="http://schemas.openxmlformats.org/officeDocument/2006/relationships/hyperlink" Target="https://x.gd/Fzeni" TargetMode="External"/><Relationship Id="rId77" Type="http://schemas.openxmlformats.org/officeDocument/2006/relationships/hyperlink" Target="https://x.gd/tzIpx" TargetMode="External"/><Relationship Id="rId76" Type="http://schemas.openxmlformats.org/officeDocument/2006/relationships/hyperlink" Target="https://x.gd/p7WqA" TargetMode="External"/><Relationship Id="rId79" Type="http://schemas.openxmlformats.org/officeDocument/2006/relationships/hyperlink" Target="https://x.gd/NNLc4" TargetMode="External"/><Relationship Id="rId78" Type="http://schemas.openxmlformats.org/officeDocument/2006/relationships/hyperlink" Target="https://x.gd/N9R41" TargetMode="External"/><Relationship Id="rId71" Type="http://schemas.openxmlformats.org/officeDocument/2006/relationships/hyperlink" Target="https://x.gd/FhhgH" TargetMode="External"/><Relationship Id="rId70" Type="http://schemas.openxmlformats.org/officeDocument/2006/relationships/hyperlink" Target="https://x.gd/OFIDL" TargetMode="External"/><Relationship Id="rId62" Type="http://schemas.openxmlformats.org/officeDocument/2006/relationships/hyperlink" Target="https://x.gd/vq9LD" TargetMode="External"/><Relationship Id="rId61" Type="http://schemas.openxmlformats.org/officeDocument/2006/relationships/hyperlink" Target="https://x.gd/6BpiK" TargetMode="External"/><Relationship Id="rId64" Type="http://schemas.openxmlformats.org/officeDocument/2006/relationships/hyperlink" Target="https://x.gd/jshI5" TargetMode="External"/><Relationship Id="rId63" Type="http://schemas.openxmlformats.org/officeDocument/2006/relationships/hyperlink" Target="https://x.gd/EKVwZ" TargetMode="External"/><Relationship Id="rId66" Type="http://schemas.openxmlformats.org/officeDocument/2006/relationships/hyperlink" Target="https://x.gd/aPl5G" TargetMode="External"/><Relationship Id="rId65" Type="http://schemas.openxmlformats.org/officeDocument/2006/relationships/hyperlink" Target="https://x.gd/XKAqc" TargetMode="External"/><Relationship Id="rId68" Type="http://schemas.openxmlformats.org/officeDocument/2006/relationships/hyperlink" Target="https://x.gd/UcXGg" TargetMode="External"/><Relationship Id="rId67" Type="http://schemas.openxmlformats.org/officeDocument/2006/relationships/hyperlink" Target="https://x.gd/iZgpR" TargetMode="External"/><Relationship Id="rId60" Type="http://schemas.openxmlformats.org/officeDocument/2006/relationships/hyperlink" Target="https://x.gd/r1SY5" TargetMode="External"/><Relationship Id="rId69" Type="http://schemas.openxmlformats.org/officeDocument/2006/relationships/hyperlink" Target="https://x.gd/96yRQ" TargetMode="External"/><Relationship Id="rId51" Type="http://schemas.openxmlformats.org/officeDocument/2006/relationships/hyperlink" Target="https://x.gd/HDrro" TargetMode="External"/><Relationship Id="rId50" Type="http://schemas.openxmlformats.org/officeDocument/2006/relationships/hyperlink" Target="https://x.gd/c4FKA" TargetMode="External"/><Relationship Id="rId53" Type="http://schemas.openxmlformats.org/officeDocument/2006/relationships/hyperlink" Target="https://x.gd/TeNS4" TargetMode="External"/><Relationship Id="rId52" Type="http://schemas.openxmlformats.org/officeDocument/2006/relationships/hyperlink" Target="https://x.gd/r3FYG" TargetMode="External"/><Relationship Id="rId55" Type="http://schemas.openxmlformats.org/officeDocument/2006/relationships/hyperlink" Target="https://x.gd/QWTKH" TargetMode="External"/><Relationship Id="rId54" Type="http://schemas.openxmlformats.org/officeDocument/2006/relationships/hyperlink" Target="https://x.gd/f9n6w" TargetMode="External"/><Relationship Id="rId57" Type="http://schemas.openxmlformats.org/officeDocument/2006/relationships/hyperlink" Target="https://x.gd/l8RJO" TargetMode="External"/><Relationship Id="rId56" Type="http://schemas.openxmlformats.org/officeDocument/2006/relationships/hyperlink" Target="https://x.gd/mseG6" TargetMode="External"/><Relationship Id="rId59" Type="http://schemas.openxmlformats.org/officeDocument/2006/relationships/hyperlink" Target="https://x.gd/sNoYY" TargetMode="External"/><Relationship Id="rId58" Type="http://schemas.openxmlformats.org/officeDocument/2006/relationships/hyperlink" Target="https://x.gd/VpgL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x.gd/DUIn8" TargetMode="External"/><Relationship Id="rId42" Type="http://schemas.openxmlformats.org/officeDocument/2006/relationships/hyperlink" Target="https://x.gd/hN3J9" TargetMode="External"/><Relationship Id="rId41" Type="http://schemas.openxmlformats.org/officeDocument/2006/relationships/hyperlink" Target="https://x.gd/dUU6Q" TargetMode="External"/><Relationship Id="rId44" Type="http://schemas.openxmlformats.org/officeDocument/2006/relationships/hyperlink" Target="https://x.gd/f9n6w" TargetMode="External"/><Relationship Id="rId43" Type="http://schemas.openxmlformats.org/officeDocument/2006/relationships/hyperlink" Target="https://x.gd/d5M177" TargetMode="External"/><Relationship Id="rId46" Type="http://schemas.openxmlformats.org/officeDocument/2006/relationships/hyperlink" Target="https://x.gd/AxN2g" TargetMode="External"/><Relationship Id="rId45" Type="http://schemas.openxmlformats.org/officeDocument/2006/relationships/hyperlink" Target="https://x.gd/GzN3O" TargetMode="External"/><Relationship Id="rId48" Type="http://schemas.openxmlformats.org/officeDocument/2006/relationships/hyperlink" Target="https://x.gd/QWTKH" TargetMode="External"/><Relationship Id="rId47" Type="http://schemas.openxmlformats.org/officeDocument/2006/relationships/hyperlink" Target="https://x.gd/I6pbP" TargetMode="External"/><Relationship Id="rId49" Type="http://schemas.openxmlformats.org/officeDocument/2006/relationships/hyperlink" Target="https://x.gd/aPl5G" TargetMode="External"/><Relationship Id="rId31" Type="http://schemas.openxmlformats.org/officeDocument/2006/relationships/hyperlink" Target="https://x.gd/tzIpx" TargetMode="External"/><Relationship Id="rId30" Type="http://schemas.openxmlformats.org/officeDocument/2006/relationships/hyperlink" Target="https://x.gd/r3FYG" TargetMode="External"/><Relationship Id="rId33" Type="http://schemas.openxmlformats.org/officeDocument/2006/relationships/hyperlink" Target="https://x.gd/3QcwW" TargetMode="External"/><Relationship Id="rId32" Type="http://schemas.openxmlformats.org/officeDocument/2006/relationships/hyperlink" Target="https://x.gd/oOfK5" TargetMode="External"/><Relationship Id="rId35" Type="http://schemas.openxmlformats.org/officeDocument/2006/relationships/hyperlink" Target="https://x.gd/3pALb" TargetMode="External"/><Relationship Id="rId34" Type="http://schemas.openxmlformats.org/officeDocument/2006/relationships/hyperlink" Target="https://x.gd/RsiME" TargetMode="External"/><Relationship Id="rId37" Type="http://schemas.openxmlformats.org/officeDocument/2006/relationships/hyperlink" Target="https://x.gd/TeNS4" TargetMode="External"/><Relationship Id="rId36" Type="http://schemas.openxmlformats.org/officeDocument/2006/relationships/hyperlink" Target="https://x.gd/dphkr" TargetMode="External"/><Relationship Id="rId39" Type="http://schemas.openxmlformats.org/officeDocument/2006/relationships/hyperlink" Target="https://x.gd/N9R41" TargetMode="External"/><Relationship Id="rId38" Type="http://schemas.openxmlformats.org/officeDocument/2006/relationships/hyperlink" Target="https://x.gd/XKAqc" TargetMode="External"/><Relationship Id="rId20" Type="http://schemas.openxmlformats.org/officeDocument/2006/relationships/hyperlink" Target="https://x.gd/p7WqA" TargetMode="External"/><Relationship Id="rId22" Type="http://schemas.openxmlformats.org/officeDocument/2006/relationships/hyperlink" Target="https://x.gd/5S8zc" TargetMode="External"/><Relationship Id="rId21" Type="http://schemas.openxmlformats.org/officeDocument/2006/relationships/hyperlink" Target="https://x.gd/7EDKM" TargetMode="External"/><Relationship Id="rId24" Type="http://schemas.openxmlformats.org/officeDocument/2006/relationships/hyperlink" Target="https://x.gd/0pOCn" TargetMode="External"/><Relationship Id="rId23" Type="http://schemas.openxmlformats.org/officeDocument/2006/relationships/hyperlink" Target="https://x.gd/fnC7z" TargetMode="External"/><Relationship Id="rId26" Type="http://schemas.openxmlformats.org/officeDocument/2006/relationships/hyperlink" Target="https://x.gd/HDrro" TargetMode="External"/><Relationship Id="rId25" Type="http://schemas.openxmlformats.org/officeDocument/2006/relationships/hyperlink" Target="https://x.gd/wRgAe" TargetMode="External"/><Relationship Id="rId28" Type="http://schemas.openxmlformats.org/officeDocument/2006/relationships/hyperlink" Target="https://x.gd/hr4vD" TargetMode="External"/><Relationship Id="rId27" Type="http://schemas.openxmlformats.org/officeDocument/2006/relationships/hyperlink" Target="https://x.gd/P36FG" TargetMode="External"/><Relationship Id="rId29" Type="http://schemas.openxmlformats.org/officeDocument/2006/relationships/hyperlink" Target="https://x.gd/oB5oH" TargetMode="External"/><Relationship Id="rId95" Type="http://schemas.openxmlformats.org/officeDocument/2006/relationships/hyperlink" Target="https://x.gd/XjsGH" TargetMode="External"/><Relationship Id="rId94" Type="http://schemas.openxmlformats.org/officeDocument/2006/relationships/hyperlink" Target="https://x.gd/sa2G4" TargetMode="External"/><Relationship Id="rId97" Type="http://schemas.openxmlformats.org/officeDocument/2006/relationships/hyperlink" Target="https://x.gd/nuadW" TargetMode="External"/><Relationship Id="rId96" Type="http://schemas.openxmlformats.org/officeDocument/2006/relationships/hyperlink" Target="https://x.gd/vq9LD" TargetMode="External"/><Relationship Id="rId11" Type="http://schemas.openxmlformats.org/officeDocument/2006/relationships/hyperlink" Target="https://x.gd/tPlTS" TargetMode="External"/><Relationship Id="rId99" Type="http://schemas.openxmlformats.org/officeDocument/2006/relationships/drawing" Target="../drawings/drawing5.xml"/><Relationship Id="rId10" Type="http://schemas.openxmlformats.org/officeDocument/2006/relationships/hyperlink" Target="https://x.gd/aWOqN" TargetMode="External"/><Relationship Id="rId98" Type="http://schemas.openxmlformats.org/officeDocument/2006/relationships/hyperlink" Target="https://x.gd/OgG6B" TargetMode="External"/><Relationship Id="rId13" Type="http://schemas.openxmlformats.org/officeDocument/2006/relationships/hyperlink" Target="https://x.gd/jshI5" TargetMode="External"/><Relationship Id="rId12" Type="http://schemas.openxmlformats.org/officeDocument/2006/relationships/hyperlink" Target="https://x.gd/dy6cC" TargetMode="External"/><Relationship Id="rId91" Type="http://schemas.openxmlformats.org/officeDocument/2006/relationships/hyperlink" Target="https://x.gd/wK69j" TargetMode="External"/><Relationship Id="rId90" Type="http://schemas.openxmlformats.org/officeDocument/2006/relationships/hyperlink" Target="https://x.gd/6BpiK" TargetMode="External"/><Relationship Id="rId93" Type="http://schemas.openxmlformats.org/officeDocument/2006/relationships/hyperlink" Target="https://x.gd/ozfng" TargetMode="External"/><Relationship Id="rId92" Type="http://schemas.openxmlformats.org/officeDocument/2006/relationships/hyperlink" Target="https://x.gd/GOYYE" TargetMode="External"/><Relationship Id="rId15" Type="http://schemas.openxmlformats.org/officeDocument/2006/relationships/hyperlink" Target="https://x.gd/81rju" TargetMode="External"/><Relationship Id="rId14" Type="http://schemas.openxmlformats.org/officeDocument/2006/relationships/hyperlink" Target="https://x.gd/xW36Z" TargetMode="External"/><Relationship Id="rId17" Type="http://schemas.openxmlformats.org/officeDocument/2006/relationships/hyperlink" Target="https://x.gd/pOCoD" TargetMode="External"/><Relationship Id="rId16" Type="http://schemas.openxmlformats.org/officeDocument/2006/relationships/hyperlink" Target="https://x.gd/nQW3p" TargetMode="External"/><Relationship Id="rId19" Type="http://schemas.openxmlformats.org/officeDocument/2006/relationships/hyperlink" Target="https://x.gd/c4FKA" TargetMode="External"/><Relationship Id="rId18" Type="http://schemas.openxmlformats.org/officeDocument/2006/relationships/hyperlink" Target="https://x.gd/7qaCQ" TargetMode="External"/><Relationship Id="rId84" Type="http://schemas.openxmlformats.org/officeDocument/2006/relationships/hyperlink" Target="https://x.gd/r1SY5" TargetMode="External"/><Relationship Id="rId83" Type="http://schemas.openxmlformats.org/officeDocument/2006/relationships/hyperlink" Target="https://x.gd/schbV" TargetMode="External"/><Relationship Id="rId86" Type="http://schemas.openxmlformats.org/officeDocument/2006/relationships/hyperlink" Target="https://x.gd/Ub2rS" TargetMode="External"/><Relationship Id="rId85" Type="http://schemas.openxmlformats.org/officeDocument/2006/relationships/hyperlink" Target="https://x.gd/FhhgH" TargetMode="External"/><Relationship Id="rId88" Type="http://schemas.openxmlformats.org/officeDocument/2006/relationships/hyperlink" Target="https://x.gd/aCMMK" TargetMode="External"/><Relationship Id="rId87" Type="http://schemas.openxmlformats.org/officeDocument/2006/relationships/hyperlink" Target="https://x.gd/sHSX0" TargetMode="External"/><Relationship Id="rId89" Type="http://schemas.openxmlformats.org/officeDocument/2006/relationships/hyperlink" Target="https://x.gd/ZDG6o" TargetMode="External"/><Relationship Id="rId80" Type="http://schemas.openxmlformats.org/officeDocument/2006/relationships/hyperlink" Target="https://x.gd/xPQo7" TargetMode="External"/><Relationship Id="rId82" Type="http://schemas.openxmlformats.org/officeDocument/2006/relationships/hyperlink" Target="https://x.gd/kGDgP" TargetMode="External"/><Relationship Id="rId81" Type="http://schemas.openxmlformats.org/officeDocument/2006/relationships/hyperlink" Target="https://x.gd/JYIS6" TargetMode="External"/><Relationship Id="rId1" Type="http://schemas.openxmlformats.org/officeDocument/2006/relationships/hyperlink" Target="https://x.gd/WVHGK" TargetMode="External"/><Relationship Id="rId2" Type="http://schemas.openxmlformats.org/officeDocument/2006/relationships/hyperlink" Target="https://x.gd/LexWe" TargetMode="External"/><Relationship Id="rId3" Type="http://schemas.openxmlformats.org/officeDocument/2006/relationships/hyperlink" Target="https://x.gd/Xsi6U" TargetMode="External"/><Relationship Id="rId4" Type="http://schemas.openxmlformats.org/officeDocument/2006/relationships/hyperlink" Target="https://x.gd/UoHyj" TargetMode="External"/><Relationship Id="rId9" Type="http://schemas.openxmlformats.org/officeDocument/2006/relationships/hyperlink" Target="https://x.gd/saNe2Y" TargetMode="External"/><Relationship Id="rId5" Type="http://schemas.openxmlformats.org/officeDocument/2006/relationships/hyperlink" Target="https://x.gd/EKVwZ" TargetMode="External"/><Relationship Id="rId6" Type="http://schemas.openxmlformats.org/officeDocument/2006/relationships/hyperlink" Target="https://x.gd/Fzeni" TargetMode="External"/><Relationship Id="rId7" Type="http://schemas.openxmlformats.org/officeDocument/2006/relationships/hyperlink" Target="https://x.gd/JXKPj" TargetMode="External"/><Relationship Id="rId8" Type="http://schemas.openxmlformats.org/officeDocument/2006/relationships/hyperlink" Target="https://x.gd/utTW5" TargetMode="External"/><Relationship Id="rId73" Type="http://schemas.openxmlformats.org/officeDocument/2006/relationships/hyperlink" Target="https://x.gd/3SJEA" TargetMode="External"/><Relationship Id="rId72" Type="http://schemas.openxmlformats.org/officeDocument/2006/relationships/hyperlink" Target="https://x.gd/96yRQ" TargetMode="External"/><Relationship Id="rId75" Type="http://schemas.openxmlformats.org/officeDocument/2006/relationships/hyperlink" Target="https://x.gd/k4Zlp" TargetMode="External"/><Relationship Id="rId74" Type="http://schemas.openxmlformats.org/officeDocument/2006/relationships/hyperlink" Target="https://x.gd/P9rWl" TargetMode="External"/><Relationship Id="rId77" Type="http://schemas.openxmlformats.org/officeDocument/2006/relationships/hyperlink" Target="https://x.gd/KNYpG" TargetMode="External"/><Relationship Id="rId76" Type="http://schemas.openxmlformats.org/officeDocument/2006/relationships/hyperlink" Target="https://x.gd/WU2sm" TargetMode="External"/><Relationship Id="rId79" Type="http://schemas.openxmlformats.org/officeDocument/2006/relationships/hyperlink" Target="https://x.gd/OFIDL" TargetMode="External"/><Relationship Id="rId78" Type="http://schemas.openxmlformats.org/officeDocument/2006/relationships/hyperlink" Target="https://x.gd/sNoYY" TargetMode="External"/><Relationship Id="rId71" Type="http://schemas.openxmlformats.org/officeDocument/2006/relationships/hyperlink" Target="https://x.gd/VpgLO" TargetMode="External"/><Relationship Id="rId70" Type="http://schemas.openxmlformats.org/officeDocument/2006/relationships/hyperlink" Target="https://x.gd/SGZhM" TargetMode="External"/><Relationship Id="rId62" Type="http://schemas.openxmlformats.org/officeDocument/2006/relationships/hyperlink" Target="https://x.gd/7kv9n" TargetMode="External"/><Relationship Id="rId61" Type="http://schemas.openxmlformats.org/officeDocument/2006/relationships/hyperlink" Target="https://x.gd/AlM2U" TargetMode="External"/><Relationship Id="rId64" Type="http://schemas.openxmlformats.org/officeDocument/2006/relationships/hyperlink" Target="https://x.gd/UcXGg" TargetMode="External"/><Relationship Id="rId63" Type="http://schemas.openxmlformats.org/officeDocument/2006/relationships/hyperlink" Target="https://x.gd/lZ6KH" TargetMode="External"/><Relationship Id="rId66" Type="http://schemas.openxmlformats.org/officeDocument/2006/relationships/hyperlink" Target="https://x.gd/IWRjf" TargetMode="External"/><Relationship Id="rId65" Type="http://schemas.openxmlformats.org/officeDocument/2006/relationships/hyperlink" Target="https://x.gd/7ZECc" TargetMode="External"/><Relationship Id="rId68" Type="http://schemas.openxmlformats.org/officeDocument/2006/relationships/hyperlink" Target="https://x.gd/qhlEE" TargetMode="External"/><Relationship Id="rId67" Type="http://schemas.openxmlformats.org/officeDocument/2006/relationships/hyperlink" Target="https://x.gd/IgZap" TargetMode="External"/><Relationship Id="rId60" Type="http://schemas.openxmlformats.org/officeDocument/2006/relationships/hyperlink" Target="https://x.gd/iZgpR" TargetMode="External"/><Relationship Id="rId69" Type="http://schemas.openxmlformats.org/officeDocument/2006/relationships/hyperlink" Target="https://x.gd/NHkVf" TargetMode="External"/><Relationship Id="rId51" Type="http://schemas.openxmlformats.org/officeDocument/2006/relationships/hyperlink" Target="https://x.gd/RIkCo" TargetMode="External"/><Relationship Id="rId50" Type="http://schemas.openxmlformats.org/officeDocument/2006/relationships/hyperlink" Target="https://x.gd/NNLc4" TargetMode="External"/><Relationship Id="rId53" Type="http://schemas.openxmlformats.org/officeDocument/2006/relationships/hyperlink" Target="https://x.gd/lseLK" TargetMode="External"/><Relationship Id="rId52" Type="http://schemas.openxmlformats.org/officeDocument/2006/relationships/hyperlink" Target="https://x.gd/CyiTH" TargetMode="External"/><Relationship Id="rId55" Type="http://schemas.openxmlformats.org/officeDocument/2006/relationships/hyperlink" Target="https://x.gd/mseG6" TargetMode="External"/><Relationship Id="rId54" Type="http://schemas.openxmlformats.org/officeDocument/2006/relationships/hyperlink" Target="https://x.gd/c3pAX" TargetMode="External"/><Relationship Id="rId57" Type="http://schemas.openxmlformats.org/officeDocument/2006/relationships/hyperlink" Target="https://x.gd/yvtVL" TargetMode="External"/><Relationship Id="rId56" Type="http://schemas.openxmlformats.org/officeDocument/2006/relationships/hyperlink" Target="https://x.gd/dfTkm" TargetMode="External"/><Relationship Id="rId59" Type="http://schemas.openxmlformats.org/officeDocument/2006/relationships/hyperlink" Target="https://x.gd/l8RJO" TargetMode="External"/><Relationship Id="rId58" Type="http://schemas.openxmlformats.org/officeDocument/2006/relationships/hyperlink" Target="https://x.gd/sLOJQ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zkbrasil.com.b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zkbrasil.com.br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0.38"/>
    <col customWidth="1" min="2" max="17" width="33.88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19</v>
      </c>
      <c r="B4" s="10" t="s">
        <v>20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20</v>
      </c>
      <c r="H4" s="10" t="s">
        <v>24</v>
      </c>
      <c r="I4" s="10" t="s">
        <v>20</v>
      </c>
      <c r="J4" s="10" t="s">
        <v>24</v>
      </c>
      <c r="K4" s="10" t="s">
        <v>20</v>
      </c>
      <c r="L4" s="10" t="s">
        <v>20</v>
      </c>
      <c r="M4" s="10" t="s">
        <v>20</v>
      </c>
      <c r="N4" s="10" t="s">
        <v>20</v>
      </c>
      <c r="O4" s="10" t="s">
        <v>20</v>
      </c>
      <c r="P4" s="10" t="s">
        <v>20</v>
      </c>
      <c r="Q4" s="10" t="s">
        <v>20</v>
      </c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2" t="s">
        <v>31</v>
      </c>
      <c r="H5" s="12" t="s">
        <v>32</v>
      </c>
      <c r="I5" s="12" t="s">
        <v>33</v>
      </c>
      <c r="J5" s="12" t="s">
        <v>34</v>
      </c>
      <c r="K5" s="12" t="s">
        <v>35</v>
      </c>
      <c r="L5" s="12" t="s">
        <v>36</v>
      </c>
      <c r="M5" s="12" t="s">
        <v>37</v>
      </c>
      <c r="N5" s="12" t="s">
        <v>38</v>
      </c>
      <c r="O5" s="12" t="s">
        <v>39</v>
      </c>
      <c r="P5" s="12" t="s">
        <v>40</v>
      </c>
      <c r="Q5" s="12" t="s">
        <v>41</v>
      </c>
      <c r="R5" s="8"/>
      <c r="S5" s="8"/>
      <c r="T5" s="8"/>
      <c r="U5" s="8"/>
      <c r="V5" s="8"/>
      <c r="W5" s="8"/>
      <c r="X5" s="8"/>
      <c r="Y5" s="8"/>
      <c r="Z5" s="8"/>
    </row>
    <row r="6">
      <c r="A6" s="11" t="s">
        <v>42</v>
      </c>
      <c r="B6" s="12" t="s">
        <v>43</v>
      </c>
      <c r="C6" s="12" t="s">
        <v>44</v>
      </c>
      <c r="D6" s="12" t="s">
        <v>45</v>
      </c>
      <c r="E6" s="12" t="s">
        <v>46</v>
      </c>
      <c r="F6" s="12" t="s">
        <v>47</v>
      </c>
      <c r="G6" s="12" t="s">
        <v>48</v>
      </c>
      <c r="H6" s="12" t="s">
        <v>49</v>
      </c>
      <c r="I6" s="12" t="s">
        <v>50</v>
      </c>
      <c r="J6" s="12" t="s">
        <v>51</v>
      </c>
      <c r="K6" s="12" t="s">
        <v>52</v>
      </c>
      <c r="L6" s="12" t="s">
        <v>53</v>
      </c>
      <c r="M6" s="12" t="s">
        <v>54</v>
      </c>
      <c r="N6" s="12" t="s">
        <v>55</v>
      </c>
      <c r="O6" s="12" t="s">
        <v>56</v>
      </c>
      <c r="P6" s="12" t="s">
        <v>57</v>
      </c>
      <c r="Q6" s="12" t="s">
        <v>58</v>
      </c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59</v>
      </c>
      <c r="B7" s="12" t="s">
        <v>60</v>
      </c>
      <c r="C7" s="12" t="s">
        <v>61</v>
      </c>
      <c r="D7" s="12" t="s">
        <v>62</v>
      </c>
      <c r="E7" s="12" t="s">
        <v>63</v>
      </c>
      <c r="F7" s="12" t="s">
        <v>64</v>
      </c>
      <c r="G7" s="12" t="s">
        <v>65</v>
      </c>
      <c r="H7" s="12" t="s">
        <v>66</v>
      </c>
      <c r="I7" s="12" t="s">
        <v>67</v>
      </c>
      <c r="J7" s="12" t="s">
        <v>68</v>
      </c>
      <c r="K7" s="12" t="s">
        <v>69</v>
      </c>
      <c r="L7" s="13"/>
      <c r="M7" s="12" t="s">
        <v>70</v>
      </c>
      <c r="N7" s="12" t="s">
        <v>71</v>
      </c>
      <c r="O7" s="12" t="s">
        <v>72</v>
      </c>
      <c r="P7" s="12" t="s">
        <v>73</v>
      </c>
      <c r="Q7" s="12" t="s">
        <v>74</v>
      </c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75</v>
      </c>
      <c r="B8" s="12" t="s">
        <v>76</v>
      </c>
      <c r="C8" s="12" t="s">
        <v>77</v>
      </c>
      <c r="D8" s="12" t="s">
        <v>78</v>
      </c>
      <c r="E8" s="12" t="s">
        <v>79</v>
      </c>
      <c r="F8" s="12" t="s">
        <v>80</v>
      </c>
      <c r="G8" s="12" t="s">
        <v>81</v>
      </c>
      <c r="H8" s="12" t="s">
        <v>82</v>
      </c>
      <c r="I8" s="12" t="s">
        <v>83</v>
      </c>
      <c r="J8" s="12" t="s">
        <v>84</v>
      </c>
      <c r="K8" s="12" t="s">
        <v>85</v>
      </c>
      <c r="L8" s="13"/>
      <c r="M8" s="12" t="s">
        <v>86</v>
      </c>
      <c r="N8" s="12" t="s">
        <v>87</v>
      </c>
      <c r="O8" s="12" t="s">
        <v>88</v>
      </c>
      <c r="P8" s="12" t="s">
        <v>89</v>
      </c>
      <c r="Q8" s="12" t="s">
        <v>90</v>
      </c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91</v>
      </c>
      <c r="B9" s="12" t="s">
        <v>92</v>
      </c>
      <c r="C9" s="12" t="s">
        <v>93</v>
      </c>
      <c r="D9" s="14"/>
      <c r="E9" s="14"/>
      <c r="F9" s="14"/>
      <c r="G9" s="12" t="s">
        <v>94</v>
      </c>
      <c r="H9" s="13"/>
      <c r="I9" s="12" t="s">
        <v>95</v>
      </c>
      <c r="J9" s="13"/>
      <c r="K9" s="12" t="s">
        <v>96</v>
      </c>
      <c r="L9" s="12" t="s">
        <v>97</v>
      </c>
      <c r="M9" s="12" t="s">
        <v>98</v>
      </c>
      <c r="N9" s="12" t="s">
        <v>99</v>
      </c>
      <c r="O9" s="12" t="s">
        <v>100</v>
      </c>
      <c r="P9" s="12" t="s">
        <v>101</v>
      </c>
      <c r="Q9" s="12" t="s">
        <v>102</v>
      </c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103</v>
      </c>
      <c r="B10" s="12" t="s">
        <v>104</v>
      </c>
      <c r="C10" s="12" t="s">
        <v>105</v>
      </c>
      <c r="D10" s="12" t="s">
        <v>106</v>
      </c>
      <c r="E10" s="14"/>
      <c r="F10" s="12" t="s">
        <v>107</v>
      </c>
      <c r="G10" s="12" t="s">
        <v>108</v>
      </c>
      <c r="H10" s="13"/>
      <c r="I10" s="12" t="s">
        <v>109</v>
      </c>
      <c r="J10" s="13"/>
      <c r="K10" s="13"/>
      <c r="L10" s="12" t="s">
        <v>110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116</v>
      </c>
      <c r="B11" s="12" t="s">
        <v>117</v>
      </c>
      <c r="C11" s="13"/>
      <c r="D11" s="12" t="s">
        <v>118</v>
      </c>
      <c r="E11" s="14"/>
      <c r="F11" s="12" t="s">
        <v>119</v>
      </c>
      <c r="G11" s="14"/>
      <c r="H11" s="14"/>
      <c r="I11" s="14"/>
      <c r="J11" s="14"/>
      <c r="K11" s="14"/>
      <c r="L11" s="12" t="s">
        <v>120</v>
      </c>
      <c r="M11" s="14"/>
      <c r="N11" s="14"/>
      <c r="O11" s="14"/>
      <c r="P11" s="14"/>
      <c r="Q11" s="14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121</v>
      </c>
      <c r="B12" s="12" t="s">
        <v>122</v>
      </c>
      <c r="C12" s="12" t="s">
        <v>123</v>
      </c>
      <c r="D12" s="12" t="s">
        <v>124</v>
      </c>
      <c r="E12" s="14"/>
      <c r="F12" s="12" t="s">
        <v>125</v>
      </c>
      <c r="G12" s="12" t="s">
        <v>126</v>
      </c>
      <c r="H12" s="13"/>
      <c r="I12" s="12" t="s">
        <v>127</v>
      </c>
      <c r="J12" s="13"/>
      <c r="K12" s="12" t="s">
        <v>128</v>
      </c>
      <c r="L12" s="12" t="s">
        <v>129</v>
      </c>
      <c r="M12" s="12" t="s">
        <v>130</v>
      </c>
      <c r="N12" s="13"/>
      <c r="O12" s="13"/>
      <c r="P12" s="13"/>
      <c r="Q12" s="13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131</v>
      </c>
      <c r="B13" s="15"/>
      <c r="C13" s="15"/>
      <c r="D13" s="15"/>
      <c r="E13" s="16" t="s">
        <v>132</v>
      </c>
      <c r="F13" s="15"/>
      <c r="G13" s="16" t="s">
        <v>132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133</v>
      </c>
      <c r="B14" s="17" t="s">
        <v>134</v>
      </c>
      <c r="C14" s="17" t="s">
        <v>135</v>
      </c>
      <c r="D14" s="17" t="s">
        <v>136</v>
      </c>
      <c r="E14" s="17" t="s">
        <v>137</v>
      </c>
      <c r="F14" s="17" t="s">
        <v>138</v>
      </c>
      <c r="G14" s="17" t="s">
        <v>139</v>
      </c>
      <c r="H14" s="13"/>
      <c r="I14" s="17" t="s">
        <v>140</v>
      </c>
      <c r="J14" s="13"/>
      <c r="K14" s="17" t="s">
        <v>141</v>
      </c>
      <c r="L14" s="17" t="s">
        <v>142</v>
      </c>
      <c r="M14" s="17" t="s">
        <v>143</v>
      </c>
      <c r="N14" s="17" t="s">
        <v>144</v>
      </c>
      <c r="O14" s="17" t="s">
        <v>145</v>
      </c>
      <c r="P14" s="17" t="s">
        <v>146</v>
      </c>
      <c r="Q14" s="17" t="s">
        <v>147</v>
      </c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148</v>
      </c>
      <c r="B15" s="17" t="s">
        <v>149</v>
      </c>
      <c r="C15" s="17" t="s">
        <v>150</v>
      </c>
      <c r="D15" s="17" t="s">
        <v>151</v>
      </c>
      <c r="E15" s="17" t="s">
        <v>152</v>
      </c>
      <c r="F15" s="17" t="s">
        <v>153</v>
      </c>
      <c r="G15" s="17" t="s">
        <v>154</v>
      </c>
      <c r="H15" s="17" t="s">
        <v>140</v>
      </c>
      <c r="I15" s="17" t="s">
        <v>140</v>
      </c>
      <c r="J15" s="18" t="s">
        <v>155</v>
      </c>
      <c r="K15" s="17" t="s">
        <v>156</v>
      </c>
      <c r="L15" s="19" t="s">
        <v>157</v>
      </c>
      <c r="M15" s="17" t="s">
        <v>158</v>
      </c>
      <c r="N15" s="17" t="s">
        <v>159</v>
      </c>
      <c r="O15" s="17" t="s">
        <v>159</v>
      </c>
      <c r="P15" s="17" t="s">
        <v>159</v>
      </c>
      <c r="Q15" s="17" t="s">
        <v>159</v>
      </c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160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161</v>
      </c>
      <c r="B17" s="20" t="s">
        <v>162</v>
      </c>
      <c r="C17" s="20" t="s">
        <v>162</v>
      </c>
      <c r="D17" s="20" t="s">
        <v>163</v>
      </c>
      <c r="E17" s="21">
        <v>10000.0</v>
      </c>
      <c r="F17" s="20" t="s">
        <v>164</v>
      </c>
      <c r="G17" s="21">
        <v>50000.0</v>
      </c>
      <c r="H17" s="21">
        <v>30000.0</v>
      </c>
      <c r="I17" s="21">
        <v>30000.0</v>
      </c>
      <c r="J17" s="21">
        <v>30000.0</v>
      </c>
      <c r="K17" s="21">
        <v>50000.0</v>
      </c>
      <c r="L17" s="21">
        <v>50000.0</v>
      </c>
      <c r="M17" s="21">
        <v>50000.0</v>
      </c>
      <c r="N17" s="20" t="s">
        <v>162</v>
      </c>
      <c r="O17" s="21">
        <v>8000.0</v>
      </c>
      <c r="P17" s="21">
        <v>6000.0</v>
      </c>
      <c r="Q17" s="21">
        <v>3000.0</v>
      </c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165</v>
      </c>
      <c r="B18" s="20" t="s">
        <v>162</v>
      </c>
      <c r="C18" s="20" t="s">
        <v>162</v>
      </c>
      <c r="D18" s="20" t="s">
        <v>163</v>
      </c>
      <c r="E18" s="21">
        <v>6000.0</v>
      </c>
      <c r="F18" s="21">
        <v>3000.0</v>
      </c>
      <c r="G18" s="20" t="s">
        <v>166</v>
      </c>
      <c r="H18" s="21">
        <v>30000.0</v>
      </c>
      <c r="I18" s="20" t="s">
        <v>167</v>
      </c>
      <c r="J18" s="20" t="s">
        <v>168</v>
      </c>
      <c r="K18" s="20" t="s">
        <v>166</v>
      </c>
      <c r="L18" s="20" t="s">
        <v>167</v>
      </c>
      <c r="M18" s="20" t="s">
        <v>167</v>
      </c>
      <c r="N18" s="20" t="s">
        <v>162</v>
      </c>
      <c r="O18" s="21">
        <v>6000.0</v>
      </c>
      <c r="P18" s="21">
        <v>4000.0</v>
      </c>
      <c r="Q18" s="21">
        <v>3000.0</v>
      </c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169</v>
      </c>
      <c r="B19" s="20" t="s">
        <v>162</v>
      </c>
      <c r="C19" s="20" t="s">
        <v>168</v>
      </c>
      <c r="D19" s="20" t="s">
        <v>168</v>
      </c>
      <c r="E19" s="21">
        <v>6000.0</v>
      </c>
      <c r="F19" s="20" t="s">
        <v>168</v>
      </c>
      <c r="G19" s="20" t="s">
        <v>170</v>
      </c>
      <c r="H19" s="21">
        <v>10000.0</v>
      </c>
      <c r="I19" s="20" t="s">
        <v>168</v>
      </c>
      <c r="J19" s="20" t="s">
        <v>168</v>
      </c>
      <c r="K19" s="20" t="s">
        <v>168</v>
      </c>
      <c r="L19" s="20" t="s">
        <v>168</v>
      </c>
      <c r="M19" s="20" t="s">
        <v>168</v>
      </c>
      <c r="N19" s="20" t="s">
        <v>162</v>
      </c>
      <c r="O19" s="21">
        <v>8000.0</v>
      </c>
      <c r="P19" s="21">
        <v>3000.0</v>
      </c>
      <c r="Q19" s="21">
        <v>3000.0</v>
      </c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171</v>
      </c>
      <c r="B20" s="21">
        <v>3000.0</v>
      </c>
      <c r="C20" s="21">
        <v>3000.0</v>
      </c>
      <c r="D20" s="21">
        <v>1000.0</v>
      </c>
      <c r="E20" s="20" t="s">
        <v>168</v>
      </c>
      <c r="F20" s="20" t="s">
        <v>168</v>
      </c>
      <c r="G20" s="20" t="s">
        <v>172</v>
      </c>
      <c r="H20" s="20" t="s">
        <v>173</v>
      </c>
      <c r="I20" s="20" t="s">
        <v>173</v>
      </c>
      <c r="J20" s="20" t="s">
        <v>173</v>
      </c>
      <c r="K20" s="21">
        <v>5000.0</v>
      </c>
      <c r="L20" s="20" t="s">
        <v>168</v>
      </c>
      <c r="M20" s="20" t="s">
        <v>168</v>
      </c>
      <c r="N20" s="20" t="s">
        <v>168</v>
      </c>
      <c r="O20" s="20" t="s">
        <v>168</v>
      </c>
      <c r="P20" s="20" t="s">
        <v>168</v>
      </c>
      <c r="Q20" s="20" t="s">
        <v>168</v>
      </c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174</v>
      </c>
      <c r="B21" s="20" t="s">
        <v>162</v>
      </c>
      <c r="C21" s="20" t="s">
        <v>162</v>
      </c>
      <c r="D21" s="20" t="s">
        <v>163</v>
      </c>
      <c r="E21" s="20" t="s">
        <v>168</v>
      </c>
      <c r="F21" s="20" t="s">
        <v>168</v>
      </c>
      <c r="G21" s="20" t="s">
        <v>168</v>
      </c>
      <c r="H21" s="20" t="s">
        <v>168</v>
      </c>
      <c r="I21" s="21">
        <v>100000.0</v>
      </c>
      <c r="J21" s="20" t="s">
        <v>173</v>
      </c>
      <c r="K21" s="21">
        <v>50000.0</v>
      </c>
      <c r="L21" s="20" t="s">
        <v>168</v>
      </c>
      <c r="M21" s="21">
        <v>50000.0</v>
      </c>
      <c r="N21" s="20" t="s">
        <v>168</v>
      </c>
      <c r="O21" s="20" t="s">
        <v>168</v>
      </c>
      <c r="P21" s="20" t="s">
        <v>168</v>
      </c>
      <c r="Q21" s="20" t="s">
        <v>168</v>
      </c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175</v>
      </c>
      <c r="B22" s="20" t="s">
        <v>162</v>
      </c>
      <c r="C22" s="20" t="s">
        <v>162</v>
      </c>
      <c r="D22" s="20" t="s">
        <v>163</v>
      </c>
      <c r="E22" s="21">
        <v>10000.0</v>
      </c>
      <c r="F22" s="20" t="s">
        <v>164</v>
      </c>
      <c r="G22" s="20" t="s">
        <v>170</v>
      </c>
      <c r="H22" s="20" t="s">
        <v>168</v>
      </c>
      <c r="I22" s="20" t="s">
        <v>168</v>
      </c>
      <c r="J22" s="21">
        <v>100000.0</v>
      </c>
      <c r="K22" s="21">
        <v>50000.0</v>
      </c>
      <c r="L22" s="21">
        <v>50000.0</v>
      </c>
      <c r="M22" s="21">
        <v>50000.0</v>
      </c>
      <c r="N22" s="20" t="s">
        <v>176</v>
      </c>
      <c r="O22" s="20" t="s">
        <v>176</v>
      </c>
      <c r="P22" s="20">
        <v>6000.0</v>
      </c>
      <c r="Q22" s="20" t="s">
        <v>168</v>
      </c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177</v>
      </c>
      <c r="B23" s="20" t="s">
        <v>162</v>
      </c>
      <c r="C23" s="20" t="s">
        <v>162</v>
      </c>
      <c r="D23" s="20" t="s">
        <v>163</v>
      </c>
      <c r="E23" s="21">
        <v>10000.0</v>
      </c>
      <c r="F23" s="20" t="s">
        <v>164</v>
      </c>
      <c r="G23" s="21">
        <v>50000.0</v>
      </c>
      <c r="H23" s="21">
        <v>30000.0</v>
      </c>
      <c r="I23" s="21">
        <v>30000.0</v>
      </c>
      <c r="J23" s="14"/>
      <c r="K23" s="21">
        <v>50000.0</v>
      </c>
      <c r="L23" s="21">
        <v>50000.0</v>
      </c>
      <c r="M23" s="21">
        <v>50000.0</v>
      </c>
      <c r="N23" s="20" t="s">
        <v>162</v>
      </c>
      <c r="O23" s="21">
        <v>8000.0</v>
      </c>
      <c r="P23" s="21">
        <v>6000.0</v>
      </c>
      <c r="Q23" s="21">
        <v>3000.0</v>
      </c>
      <c r="R23" s="8"/>
      <c r="S23" s="8"/>
      <c r="T23" s="8"/>
      <c r="U23" s="8"/>
      <c r="V23" s="8"/>
      <c r="W23" s="8"/>
      <c r="X23" s="8"/>
      <c r="Y23" s="8"/>
      <c r="Z23" s="8"/>
    </row>
    <row r="24">
      <c r="A24" s="11" t="s">
        <v>178</v>
      </c>
      <c r="B24" s="20" t="s">
        <v>162</v>
      </c>
      <c r="C24" s="20" t="s">
        <v>162</v>
      </c>
      <c r="D24" s="20" t="s">
        <v>163</v>
      </c>
      <c r="E24" s="21">
        <v>10000.0</v>
      </c>
      <c r="F24" s="20" t="s">
        <v>164</v>
      </c>
      <c r="G24" s="21">
        <v>50000.0</v>
      </c>
      <c r="H24" s="21">
        <v>30000.0</v>
      </c>
      <c r="I24" s="21">
        <v>30000.0</v>
      </c>
      <c r="J24" s="14"/>
      <c r="K24" s="21">
        <v>50000.0</v>
      </c>
      <c r="L24" s="21">
        <v>50000.0</v>
      </c>
      <c r="M24" s="21">
        <v>50000.0</v>
      </c>
      <c r="N24" s="20" t="s">
        <v>162</v>
      </c>
      <c r="O24" s="21">
        <v>8000.0</v>
      </c>
      <c r="P24" s="21">
        <v>6000.0</v>
      </c>
      <c r="Q24" s="21">
        <v>3000.0</v>
      </c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179</v>
      </c>
      <c r="B25" s="21">
        <v>200000.0</v>
      </c>
      <c r="C25" s="20" t="s">
        <v>180</v>
      </c>
      <c r="D25" s="21">
        <v>150000.0</v>
      </c>
      <c r="E25" s="21">
        <v>200000.0</v>
      </c>
      <c r="F25" s="21">
        <v>200000.0</v>
      </c>
      <c r="G25" s="21">
        <v>200000.0</v>
      </c>
      <c r="H25" s="21">
        <v>500000.0</v>
      </c>
      <c r="I25" s="21">
        <v>500000.0</v>
      </c>
      <c r="J25" s="21">
        <v>500000.0</v>
      </c>
      <c r="K25" s="20" t="s">
        <v>181</v>
      </c>
      <c r="L25" s="20" t="s">
        <v>181</v>
      </c>
      <c r="M25" s="20" t="s">
        <v>181</v>
      </c>
      <c r="N25" s="21">
        <v>300000.0</v>
      </c>
      <c r="O25" s="21">
        <v>200000.0</v>
      </c>
      <c r="P25" s="21">
        <v>150000.0</v>
      </c>
      <c r="Q25" s="21">
        <v>150000.0</v>
      </c>
      <c r="R25" s="8"/>
      <c r="S25" s="8"/>
      <c r="T25" s="8"/>
      <c r="U25" s="8"/>
      <c r="V25" s="8"/>
      <c r="W25" s="8"/>
      <c r="X25" s="8"/>
      <c r="Y25" s="8"/>
      <c r="Z25" s="8"/>
    </row>
    <row r="26">
      <c r="A26" s="6" t="s">
        <v>182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183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184</v>
      </c>
      <c r="B28" s="20">
        <v>8.5437099E7</v>
      </c>
      <c r="C28" s="20">
        <v>8.5437099E7</v>
      </c>
      <c r="D28" s="20">
        <v>8.5437099E7</v>
      </c>
      <c r="E28" s="20">
        <v>8.5437099E7</v>
      </c>
      <c r="F28" s="20">
        <v>8.5437099E7</v>
      </c>
      <c r="G28" s="20">
        <v>8.5437099E7</v>
      </c>
      <c r="H28" s="20">
        <v>8.5437099E7</v>
      </c>
      <c r="I28" s="20">
        <v>8.5437099E7</v>
      </c>
      <c r="J28" s="20">
        <v>8.5437099E7</v>
      </c>
      <c r="K28" s="20">
        <v>8.5437099E7</v>
      </c>
      <c r="L28" s="20">
        <v>8.5437099E7</v>
      </c>
      <c r="M28" s="20">
        <v>8.5437099E7</v>
      </c>
      <c r="N28" s="20">
        <v>8.5437099E7</v>
      </c>
      <c r="O28" s="20">
        <v>8.5437099E7</v>
      </c>
      <c r="P28" s="20">
        <v>8.5437099E7</v>
      </c>
      <c r="Q28" s="20">
        <v>8.5437099E7</v>
      </c>
      <c r="R28" s="8"/>
      <c r="S28" s="8"/>
      <c r="T28" s="8"/>
      <c r="U28" s="8"/>
      <c r="V28" s="8"/>
      <c r="W28" s="8"/>
      <c r="X28" s="8"/>
      <c r="Y28" s="8"/>
      <c r="Z28" s="8"/>
    </row>
    <row r="29">
      <c r="A29" s="11" t="s">
        <v>185</v>
      </c>
      <c r="B29" s="20" t="s">
        <v>186</v>
      </c>
      <c r="C29" s="20" t="s">
        <v>186</v>
      </c>
      <c r="D29" s="20" t="s">
        <v>186</v>
      </c>
      <c r="E29" s="20" t="s">
        <v>186</v>
      </c>
      <c r="F29" s="20" t="s">
        <v>186</v>
      </c>
      <c r="G29" s="20" t="s">
        <v>186</v>
      </c>
      <c r="H29" s="20" t="s">
        <v>186</v>
      </c>
      <c r="I29" s="20" t="s">
        <v>186</v>
      </c>
      <c r="J29" s="20" t="s">
        <v>186</v>
      </c>
      <c r="K29" s="20" t="s">
        <v>186</v>
      </c>
      <c r="L29" s="20" t="s">
        <v>186</v>
      </c>
      <c r="M29" s="20" t="s">
        <v>186</v>
      </c>
      <c r="N29" s="20" t="s">
        <v>186</v>
      </c>
      <c r="O29" s="20" t="s">
        <v>186</v>
      </c>
      <c r="P29" s="20" t="s">
        <v>186</v>
      </c>
      <c r="Q29" s="20" t="s">
        <v>186</v>
      </c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187</v>
      </c>
      <c r="B30" s="20" t="s">
        <v>188</v>
      </c>
      <c r="C30" s="20" t="s">
        <v>188</v>
      </c>
      <c r="D30" s="20" t="s">
        <v>188</v>
      </c>
      <c r="E30" s="20" t="s">
        <v>188</v>
      </c>
      <c r="F30" s="20" t="s">
        <v>188</v>
      </c>
      <c r="G30" s="20" t="s">
        <v>188</v>
      </c>
      <c r="H30" s="20" t="s">
        <v>188</v>
      </c>
      <c r="I30" s="20" t="s">
        <v>188</v>
      </c>
      <c r="J30" s="20" t="s">
        <v>188</v>
      </c>
      <c r="K30" s="20" t="s">
        <v>188</v>
      </c>
      <c r="L30" s="20" t="s">
        <v>188</v>
      </c>
      <c r="M30" s="20" t="s">
        <v>188</v>
      </c>
      <c r="N30" s="20" t="s">
        <v>188</v>
      </c>
      <c r="O30" s="20" t="s">
        <v>188</v>
      </c>
      <c r="P30" s="20" t="s">
        <v>188</v>
      </c>
      <c r="Q30" s="20" t="s">
        <v>188</v>
      </c>
      <c r="R30" s="8"/>
      <c r="S30" s="8"/>
      <c r="T30" s="8"/>
      <c r="U30" s="8"/>
      <c r="V30" s="8"/>
      <c r="W30" s="8"/>
      <c r="X30" s="8"/>
      <c r="Y30" s="8"/>
      <c r="Z30" s="8"/>
    </row>
    <row r="31">
      <c r="A31" s="11" t="s">
        <v>189</v>
      </c>
      <c r="B31" s="16" t="s">
        <v>190</v>
      </c>
      <c r="C31" s="16" t="s">
        <v>190</v>
      </c>
      <c r="D31" s="16" t="s">
        <v>190</v>
      </c>
      <c r="E31" s="16" t="s">
        <v>190</v>
      </c>
      <c r="F31" s="16" t="s">
        <v>190</v>
      </c>
      <c r="G31" s="16" t="s">
        <v>190</v>
      </c>
      <c r="H31" s="16" t="s">
        <v>190</v>
      </c>
      <c r="I31" s="16" t="s">
        <v>190</v>
      </c>
      <c r="J31" s="16" t="s">
        <v>190</v>
      </c>
      <c r="K31" s="16" t="s">
        <v>190</v>
      </c>
      <c r="L31" s="16" t="s">
        <v>190</v>
      </c>
      <c r="M31" s="16" t="s">
        <v>190</v>
      </c>
      <c r="N31" s="16" t="s">
        <v>191</v>
      </c>
      <c r="O31" s="16" t="s">
        <v>191</v>
      </c>
      <c r="P31" s="16" t="s">
        <v>191</v>
      </c>
      <c r="Q31" s="16" t="s">
        <v>191</v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11" t="s">
        <v>192</v>
      </c>
      <c r="B32" s="20" t="s">
        <v>193</v>
      </c>
      <c r="C32" s="20" t="s">
        <v>193</v>
      </c>
      <c r="D32" s="20" t="s">
        <v>193</v>
      </c>
      <c r="E32" s="20" t="s">
        <v>193</v>
      </c>
      <c r="F32" s="20" t="s">
        <v>193</v>
      </c>
      <c r="G32" s="20" t="s">
        <v>193</v>
      </c>
      <c r="H32" s="20" t="s">
        <v>193</v>
      </c>
      <c r="I32" s="20" t="s">
        <v>193</v>
      </c>
      <c r="J32" s="20" t="s">
        <v>193</v>
      </c>
      <c r="K32" s="20" t="s">
        <v>193</v>
      </c>
      <c r="L32" s="20" t="s">
        <v>193</v>
      </c>
      <c r="M32" s="20" t="s">
        <v>193</v>
      </c>
      <c r="N32" s="20" t="s">
        <v>193</v>
      </c>
      <c r="O32" s="20" t="s">
        <v>193</v>
      </c>
      <c r="P32" s="20" t="s">
        <v>193</v>
      </c>
      <c r="Q32" s="20" t="s">
        <v>193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11" t="s">
        <v>194</v>
      </c>
      <c r="B33" s="20" t="s">
        <v>195</v>
      </c>
      <c r="C33" s="20" t="s">
        <v>195</v>
      </c>
      <c r="D33" s="20" t="s">
        <v>195</v>
      </c>
      <c r="E33" s="20" t="s">
        <v>195</v>
      </c>
      <c r="F33" s="16" t="s">
        <v>196</v>
      </c>
      <c r="G33" s="20" t="s">
        <v>195</v>
      </c>
      <c r="H33" s="20" t="s">
        <v>195</v>
      </c>
      <c r="I33" s="20" t="s">
        <v>195</v>
      </c>
      <c r="J33" s="20" t="s">
        <v>195</v>
      </c>
      <c r="K33" s="20" t="s">
        <v>195</v>
      </c>
      <c r="L33" s="20" t="s">
        <v>195</v>
      </c>
      <c r="M33" s="20" t="s">
        <v>195</v>
      </c>
      <c r="N33" s="20" t="s">
        <v>195</v>
      </c>
      <c r="O33" s="20" t="s">
        <v>195</v>
      </c>
      <c r="P33" s="20" t="s">
        <v>195</v>
      </c>
      <c r="Q33" s="20" t="s">
        <v>195</v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197</v>
      </c>
      <c r="B34" s="20" t="s">
        <v>198</v>
      </c>
      <c r="C34" s="20" t="s">
        <v>198</v>
      </c>
      <c r="D34" s="20" t="s">
        <v>198</v>
      </c>
      <c r="E34" s="20" t="s">
        <v>198</v>
      </c>
      <c r="F34" s="20" t="s">
        <v>198</v>
      </c>
      <c r="G34" s="20" t="s">
        <v>198</v>
      </c>
      <c r="H34" s="20" t="s">
        <v>198</v>
      </c>
      <c r="I34" s="20" t="s">
        <v>198</v>
      </c>
      <c r="J34" s="20" t="s">
        <v>198</v>
      </c>
      <c r="K34" s="20" t="s">
        <v>198</v>
      </c>
      <c r="L34" s="20" t="s">
        <v>199</v>
      </c>
      <c r="M34" s="20" t="s">
        <v>198</v>
      </c>
      <c r="N34" s="20" t="s">
        <v>199</v>
      </c>
      <c r="O34" s="20" t="s">
        <v>168</v>
      </c>
      <c r="P34" s="20" t="s">
        <v>199</v>
      </c>
      <c r="Q34" s="20" t="s">
        <v>168</v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200</v>
      </c>
      <c r="B35" s="20" t="s">
        <v>201</v>
      </c>
      <c r="C35" s="20" t="s">
        <v>202</v>
      </c>
      <c r="D35" s="20" t="s">
        <v>203</v>
      </c>
      <c r="E35" s="20" t="s">
        <v>204</v>
      </c>
      <c r="F35" s="20" t="s">
        <v>205</v>
      </c>
      <c r="G35" s="20" t="s">
        <v>206</v>
      </c>
      <c r="H35" s="20" t="s">
        <v>207</v>
      </c>
      <c r="I35" s="20" t="s">
        <v>207</v>
      </c>
      <c r="J35" s="20" t="s">
        <v>207</v>
      </c>
      <c r="K35" s="20" t="s">
        <v>208</v>
      </c>
      <c r="L35" s="20" t="s">
        <v>208</v>
      </c>
      <c r="M35" s="20" t="s">
        <v>208</v>
      </c>
      <c r="N35" s="20" t="s">
        <v>209</v>
      </c>
      <c r="O35" s="20" t="s">
        <v>210</v>
      </c>
      <c r="P35" s="20" t="s">
        <v>211</v>
      </c>
      <c r="Q35" s="20" t="s">
        <v>212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213</v>
      </c>
      <c r="B36" s="16" t="s">
        <v>214</v>
      </c>
      <c r="C36" s="16" t="s">
        <v>214</v>
      </c>
      <c r="D36" s="16" t="s">
        <v>214</v>
      </c>
      <c r="E36" s="16" t="s">
        <v>214</v>
      </c>
      <c r="F36" s="16" t="s">
        <v>215</v>
      </c>
      <c r="G36" s="16" t="s">
        <v>214</v>
      </c>
      <c r="H36" s="16" t="s">
        <v>214</v>
      </c>
      <c r="I36" s="16" t="s">
        <v>214</v>
      </c>
      <c r="J36" s="16" t="s">
        <v>214</v>
      </c>
      <c r="K36" s="16" t="s">
        <v>214</v>
      </c>
      <c r="L36" s="16" t="s">
        <v>214</v>
      </c>
      <c r="M36" s="16" t="s">
        <v>214</v>
      </c>
      <c r="N36" s="16" t="s">
        <v>214</v>
      </c>
      <c r="O36" s="16" t="s">
        <v>214</v>
      </c>
      <c r="P36" s="16" t="s">
        <v>214</v>
      </c>
      <c r="Q36" s="16" t="s">
        <v>214</v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22"/>
      <c r="B37" s="15"/>
      <c r="C37" s="15"/>
      <c r="D37" s="23"/>
      <c r="E37" s="14"/>
      <c r="F37" s="14"/>
      <c r="G37" s="14"/>
      <c r="H37" s="14"/>
      <c r="I37" s="15"/>
      <c r="J37" s="15"/>
      <c r="K37" s="15"/>
      <c r="L37" s="15"/>
      <c r="M37" s="15"/>
      <c r="N37" s="15"/>
      <c r="O37" s="15"/>
      <c r="P37" s="15"/>
      <c r="Q37" s="15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216</v>
      </c>
      <c r="B38" s="20" t="s">
        <v>217</v>
      </c>
      <c r="C38" s="20" t="s">
        <v>218</v>
      </c>
      <c r="D38" s="20" t="s">
        <v>219</v>
      </c>
      <c r="E38" s="20" t="s">
        <v>220</v>
      </c>
      <c r="F38" s="20" t="s">
        <v>220</v>
      </c>
      <c r="G38" s="20" t="s">
        <v>221</v>
      </c>
      <c r="H38" s="20" t="s">
        <v>222</v>
      </c>
      <c r="I38" s="20" t="s">
        <v>222</v>
      </c>
      <c r="J38" s="20" t="s">
        <v>222</v>
      </c>
      <c r="K38" s="20" t="s">
        <v>223</v>
      </c>
      <c r="L38" s="20" t="s">
        <v>223</v>
      </c>
      <c r="M38" s="20" t="s">
        <v>224</v>
      </c>
      <c r="N38" s="20" t="s">
        <v>220</v>
      </c>
      <c r="O38" s="20" t="s">
        <v>220</v>
      </c>
      <c r="P38" s="20" t="s">
        <v>220</v>
      </c>
      <c r="Q38" s="20" t="s">
        <v>220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225</v>
      </c>
      <c r="B39" s="20" t="s">
        <v>226</v>
      </c>
      <c r="C39" s="20" t="s">
        <v>226</v>
      </c>
      <c r="D39" s="20" t="s">
        <v>226</v>
      </c>
      <c r="E39" s="20" t="s">
        <v>226</v>
      </c>
      <c r="F39" s="20" t="s">
        <v>226</v>
      </c>
      <c r="G39" s="20" t="s">
        <v>227</v>
      </c>
      <c r="H39" s="20" t="s">
        <v>228</v>
      </c>
      <c r="I39" s="20" t="s">
        <v>228</v>
      </c>
      <c r="J39" s="20" t="s">
        <v>228</v>
      </c>
      <c r="K39" s="20" t="s">
        <v>228</v>
      </c>
      <c r="L39" s="20" t="s">
        <v>228</v>
      </c>
      <c r="M39" s="20" t="s">
        <v>228</v>
      </c>
      <c r="N39" s="20" t="s">
        <v>226</v>
      </c>
      <c r="O39" s="20" t="s">
        <v>226</v>
      </c>
      <c r="P39" s="20" t="s">
        <v>226</v>
      </c>
      <c r="Q39" s="20" t="s">
        <v>229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230</v>
      </c>
      <c r="B40" s="20" t="s">
        <v>168</v>
      </c>
      <c r="C40" s="20" t="s">
        <v>231</v>
      </c>
      <c r="D40" s="20" t="s">
        <v>168</v>
      </c>
      <c r="E40" s="20" t="s">
        <v>232</v>
      </c>
      <c r="F40" s="20" t="s">
        <v>232</v>
      </c>
      <c r="G40" s="20" t="s">
        <v>233</v>
      </c>
      <c r="H40" s="20" t="s">
        <v>231</v>
      </c>
      <c r="I40" s="20" t="s">
        <v>231</v>
      </c>
      <c r="J40" s="20" t="s">
        <v>231</v>
      </c>
      <c r="K40" s="20" t="s">
        <v>234</v>
      </c>
      <c r="L40" s="20" t="s">
        <v>234</v>
      </c>
      <c r="M40" s="20" t="s">
        <v>234</v>
      </c>
      <c r="N40" s="20" t="s">
        <v>232</v>
      </c>
      <c r="O40" s="20" t="s">
        <v>232</v>
      </c>
      <c r="P40" s="20" t="s">
        <v>232</v>
      </c>
      <c r="Q40" s="20" t="s">
        <v>168</v>
      </c>
      <c r="R40" s="8"/>
      <c r="S40" s="8"/>
      <c r="T40" s="8"/>
      <c r="U40" s="8"/>
      <c r="V40" s="8"/>
      <c r="W40" s="8"/>
      <c r="X40" s="8"/>
      <c r="Y40" s="8"/>
      <c r="Z40" s="8"/>
    </row>
    <row r="41">
      <c r="A41" s="11" t="s">
        <v>235</v>
      </c>
      <c r="B41" s="20" t="s">
        <v>168</v>
      </c>
      <c r="C41" s="20" t="s">
        <v>168</v>
      </c>
      <c r="D41" s="20" t="s">
        <v>168</v>
      </c>
      <c r="E41" s="20" t="s">
        <v>168</v>
      </c>
      <c r="F41" s="20" t="s">
        <v>168</v>
      </c>
      <c r="G41" s="20" t="s">
        <v>168</v>
      </c>
      <c r="H41" s="20" t="s">
        <v>236</v>
      </c>
      <c r="I41" s="20" t="s">
        <v>236</v>
      </c>
      <c r="J41" s="20" t="s">
        <v>236</v>
      </c>
      <c r="K41" s="20" t="s">
        <v>237</v>
      </c>
      <c r="L41" s="20" t="s">
        <v>238</v>
      </c>
      <c r="M41" s="20" t="s">
        <v>238</v>
      </c>
      <c r="N41" s="20" t="s">
        <v>168</v>
      </c>
      <c r="O41" s="20" t="s">
        <v>168</v>
      </c>
      <c r="P41" s="20" t="s">
        <v>168</v>
      </c>
      <c r="Q41" s="20" t="s">
        <v>168</v>
      </c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239</v>
      </c>
      <c r="B42" s="20">
        <v>1.3</v>
      </c>
      <c r="C42" s="20">
        <v>1.5</v>
      </c>
      <c r="D42" s="20">
        <v>0.85</v>
      </c>
      <c r="E42" s="20">
        <v>0.503</v>
      </c>
      <c r="F42" s="16" t="s">
        <v>240</v>
      </c>
      <c r="G42" s="16">
        <v>1.58</v>
      </c>
      <c r="H42" s="16">
        <v>1.41</v>
      </c>
      <c r="I42" s="16">
        <v>1.41</v>
      </c>
      <c r="J42" s="16">
        <v>1.41</v>
      </c>
      <c r="K42" s="16">
        <v>2.0</v>
      </c>
      <c r="L42" s="16">
        <v>2.0</v>
      </c>
      <c r="M42" s="16">
        <v>2.0</v>
      </c>
      <c r="N42" s="16">
        <v>0.622</v>
      </c>
      <c r="O42" s="16">
        <v>0.264</v>
      </c>
      <c r="P42" s="16">
        <v>0.185</v>
      </c>
      <c r="Q42" s="16">
        <v>0.258</v>
      </c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241</v>
      </c>
      <c r="B43" s="20" t="s">
        <v>242</v>
      </c>
      <c r="C43" s="20" t="s">
        <v>243</v>
      </c>
      <c r="D43" s="20" t="s">
        <v>242</v>
      </c>
      <c r="E43" s="20" t="s">
        <v>243</v>
      </c>
      <c r="F43" s="20" t="s">
        <v>243</v>
      </c>
      <c r="G43" s="20" t="s">
        <v>244</v>
      </c>
      <c r="H43" s="20" t="s">
        <v>243</v>
      </c>
      <c r="I43" s="20" t="s">
        <v>243</v>
      </c>
      <c r="J43" s="20" t="s">
        <v>243</v>
      </c>
      <c r="K43" s="20" t="s">
        <v>243</v>
      </c>
      <c r="L43" s="20" t="s">
        <v>245</v>
      </c>
      <c r="M43" s="20" t="s">
        <v>243</v>
      </c>
      <c r="N43" s="20" t="s">
        <v>243</v>
      </c>
      <c r="O43" s="20" t="s">
        <v>243</v>
      </c>
      <c r="P43" s="20" t="s">
        <v>243</v>
      </c>
      <c r="Q43" s="20" t="s">
        <v>242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11" t="s">
        <v>246</v>
      </c>
      <c r="B44" s="16" t="s">
        <v>247</v>
      </c>
      <c r="C44" s="16" t="s">
        <v>248</v>
      </c>
      <c r="D44" s="16" t="s">
        <v>247</v>
      </c>
      <c r="E44" s="16" t="s">
        <v>249</v>
      </c>
      <c r="F44" s="16" t="s">
        <v>250</v>
      </c>
      <c r="G44" s="16" t="s">
        <v>251</v>
      </c>
      <c r="H44" s="16" t="s">
        <v>251</v>
      </c>
      <c r="I44" s="16" t="s">
        <v>251</v>
      </c>
      <c r="J44" s="16" t="s">
        <v>251</v>
      </c>
      <c r="K44" s="16" t="s">
        <v>249</v>
      </c>
      <c r="L44" s="16" t="s">
        <v>132</v>
      </c>
      <c r="M44" s="16" t="s">
        <v>251</v>
      </c>
      <c r="N44" s="16" t="s">
        <v>249</v>
      </c>
      <c r="O44" s="16" t="s">
        <v>249</v>
      </c>
      <c r="P44" s="16" t="s">
        <v>249</v>
      </c>
      <c r="Q44" s="16" t="s">
        <v>249</v>
      </c>
      <c r="R44" s="8"/>
      <c r="S44" s="8"/>
      <c r="T44" s="8"/>
      <c r="U44" s="8"/>
      <c r="V44" s="8"/>
      <c r="W44" s="8"/>
      <c r="X44" s="8"/>
      <c r="Y44" s="8"/>
      <c r="Z44" s="8"/>
    </row>
    <row r="45">
      <c r="A45" s="11" t="s">
        <v>252</v>
      </c>
      <c r="B45" s="16" t="s">
        <v>253</v>
      </c>
      <c r="C45" s="16" t="s">
        <v>254</v>
      </c>
      <c r="D45" s="16" t="s">
        <v>255</v>
      </c>
      <c r="E45" s="16" t="s">
        <v>256</v>
      </c>
      <c r="F45" s="16" t="s">
        <v>257</v>
      </c>
      <c r="G45" s="16" t="s">
        <v>258</v>
      </c>
      <c r="H45" s="16" t="s">
        <v>259</v>
      </c>
      <c r="I45" s="16" t="s">
        <v>260</v>
      </c>
      <c r="J45" s="16" t="s">
        <v>259</v>
      </c>
      <c r="K45" s="16" t="s">
        <v>259</v>
      </c>
      <c r="L45" s="16" t="s">
        <v>261</v>
      </c>
      <c r="M45" s="16" t="s">
        <v>262</v>
      </c>
      <c r="N45" s="16" t="s">
        <v>263</v>
      </c>
      <c r="O45" s="16" t="s">
        <v>263</v>
      </c>
      <c r="P45" s="16" t="s">
        <v>263</v>
      </c>
      <c r="Q45" s="16" t="s">
        <v>263</v>
      </c>
      <c r="R45" s="8"/>
      <c r="S45" s="8"/>
      <c r="T45" s="8"/>
      <c r="U45" s="8"/>
      <c r="V45" s="8"/>
      <c r="W45" s="8"/>
      <c r="X45" s="8"/>
      <c r="Y45" s="8"/>
      <c r="Z45" s="8"/>
    </row>
    <row r="46">
      <c r="A46" s="6" t="s">
        <v>264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265</v>
      </c>
      <c r="B47" s="20" t="s">
        <v>266</v>
      </c>
      <c r="C47" s="20" t="s">
        <v>266</v>
      </c>
      <c r="D47" s="20" t="s">
        <v>266</v>
      </c>
      <c r="E47" s="16" t="s">
        <v>266</v>
      </c>
      <c r="F47" s="16" t="s">
        <v>267</v>
      </c>
      <c r="G47" s="16" t="s">
        <v>266</v>
      </c>
      <c r="H47" s="16" t="s">
        <v>266</v>
      </c>
      <c r="I47" s="16" t="s">
        <v>266</v>
      </c>
      <c r="J47" s="16" t="s">
        <v>266</v>
      </c>
      <c r="K47" s="20" t="s">
        <v>268</v>
      </c>
      <c r="L47" s="20" t="s">
        <v>269</v>
      </c>
      <c r="M47" s="20" t="s">
        <v>270</v>
      </c>
      <c r="N47" s="20" t="s">
        <v>271</v>
      </c>
      <c r="O47" s="20" t="s">
        <v>271</v>
      </c>
      <c r="P47" s="20" t="s">
        <v>271</v>
      </c>
      <c r="Q47" s="20" t="s">
        <v>271</v>
      </c>
      <c r="R47" s="8"/>
      <c r="S47" s="8"/>
      <c r="T47" s="8"/>
      <c r="U47" s="8"/>
      <c r="V47" s="8"/>
      <c r="W47" s="8"/>
      <c r="X47" s="8"/>
      <c r="Y47" s="8"/>
      <c r="Z47" s="8"/>
    </row>
    <row r="48">
      <c r="A48" s="9" t="s">
        <v>272</v>
      </c>
      <c r="B48" s="16" t="s">
        <v>273</v>
      </c>
      <c r="C48" s="16" t="s">
        <v>273</v>
      </c>
      <c r="D48" s="16" t="s">
        <v>274</v>
      </c>
      <c r="E48" s="16" t="s">
        <v>275</v>
      </c>
      <c r="F48" s="16" t="s">
        <v>276</v>
      </c>
      <c r="G48" s="16" t="s">
        <v>277</v>
      </c>
      <c r="H48" s="16" t="s">
        <v>278</v>
      </c>
      <c r="I48" s="16" t="s">
        <v>278</v>
      </c>
      <c r="J48" s="16" t="s">
        <v>278</v>
      </c>
      <c r="K48" s="16" t="s">
        <v>279</v>
      </c>
      <c r="L48" s="16" t="s">
        <v>280</v>
      </c>
      <c r="M48" s="16" t="s">
        <v>281</v>
      </c>
      <c r="N48" s="16" t="s">
        <v>282</v>
      </c>
      <c r="O48" s="16" t="s">
        <v>282</v>
      </c>
      <c r="P48" s="16" t="s">
        <v>282</v>
      </c>
      <c r="Q48" s="16" t="s">
        <v>282</v>
      </c>
      <c r="R48" s="8"/>
      <c r="S48" s="8"/>
      <c r="T48" s="8"/>
      <c r="U48" s="8"/>
      <c r="V48" s="8"/>
      <c r="W48" s="8"/>
      <c r="X48" s="8"/>
      <c r="Y48" s="8"/>
      <c r="Z48" s="8"/>
    </row>
    <row r="49">
      <c r="A49" s="11" t="s">
        <v>283</v>
      </c>
      <c r="B49" s="20" t="s">
        <v>284</v>
      </c>
      <c r="C49" s="20" t="s">
        <v>284</v>
      </c>
      <c r="D49" s="20" t="s">
        <v>285</v>
      </c>
      <c r="E49" s="20" t="s">
        <v>284</v>
      </c>
      <c r="F49" s="20" t="s">
        <v>284</v>
      </c>
      <c r="G49" s="16" t="s">
        <v>285</v>
      </c>
      <c r="H49" s="20" t="s">
        <v>286</v>
      </c>
      <c r="I49" s="20" t="s">
        <v>286</v>
      </c>
      <c r="J49" s="20" t="s">
        <v>286</v>
      </c>
      <c r="K49" s="20" t="s">
        <v>284</v>
      </c>
      <c r="L49" s="20" t="s">
        <v>287</v>
      </c>
      <c r="M49" s="20" t="s">
        <v>288</v>
      </c>
      <c r="N49" s="20" t="s">
        <v>284</v>
      </c>
      <c r="O49" s="20" t="s">
        <v>284</v>
      </c>
      <c r="P49" s="20" t="s">
        <v>284</v>
      </c>
      <c r="Q49" s="20" t="s">
        <v>284</v>
      </c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289</v>
      </c>
      <c r="B50" s="20" t="s">
        <v>290</v>
      </c>
      <c r="C50" s="20" t="s">
        <v>290</v>
      </c>
      <c r="D50" s="20" t="s">
        <v>290</v>
      </c>
      <c r="E50" s="20" t="s">
        <v>290</v>
      </c>
      <c r="F50" s="20" t="s">
        <v>290</v>
      </c>
      <c r="G50" s="20" t="s">
        <v>290</v>
      </c>
      <c r="H50" s="20" t="s">
        <v>290</v>
      </c>
      <c r="I50" s="20" t="s">
        <v>290</v>
      </c>
      <c r="J50" s="20" t="s">
        <v>290</v>
      </c>
      <c r="K50" s="20" t="s">
        <v>290</v>
      </c>
      <c r="L50" s="20" t="s">
        <v>290</v>
      </c>
      <c r="M50" s="20" t="s">
        <v>290</v>
      </c>
      <c r="N50" s="20" t="s">
        <v>290</v>
      </c>
      <c r="O50" s="20" t="s">
        <v>290</v>
      </c>
      <c r="P50" s="20" t="s">
        <v>290</v>
      </c>
      <c r="Q50" s="20" t="s">
        <v>290</v>
      </c>
      <c r="R50" s="8"/>
      <c r="S50" s="8"/>
      <c r="T50" s="8"/>
      <c r="U50" s="8"/>
      <c r="V50" s="8"/>
      <c r="W50" s="8"/>
      <c r="X50" s="8"/>
      <c r="Y50" s="8"/>
      <c r="Z50" s="8"/>
    </row>
    <row r="51">
      <c r="A51" s="11" t="s">
        <v>291</v>
      </c>
      <c r="B51" s="20" t="s">
        <v>292</v>
      </c>
      <c r="C51" s="20" t="s">
        <v>292</v>
      </c>
      <c r="D51" s="16" t="s">
        <v>292</v>
      </c>
      <c r="E51" s="20" t="s">
        <v>292</v>
      </c>
      <c r="F51" s="20" t="s">
        <v>293</v>
      </c>
      <c r="G51" s="16" t="s">
        <v>292</v>
      </c>
      <c r="H51" s="20" t="s">
        <v>292</v>
      </c>
      <c r="I51" s="20" t="s">
        <v>292</v>
      </c>
      <c r="J51" s="20" t="s">
        <v>292</v>
      </c>
      <c r="K51" s="20" t="s">
        <v>292</v>
      </c>
      <c r="L51" s="16" t="s">
        <v>292</v>
      </c>
      <c r="M51" s="20" t="s">
        <v>292</v>
      </c>
      <c r="N51" s="20" t="s">
        <v>294</v>
      </c>
      <c r="O51" s="20" t="s">
        <v>294</v>
      </c>
      <c r="P51" s="20" t="s">
        <v>294</v>
      </c>
      <c r="Q51" s="20" t="s">
        <v>294</v>
      </c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295</v>
      </c>
      <c r="B52" s="20" t="s">
        <v>296</v>
      </c>
      <c r="C52" s="20" t="s">
        <v>296</v>
      </c>
      <c r="D52" s="20" t="s">
        <v>297</v>
      </c>
      <c r="E52" s="20" t="s">
        <v>296</v>
      </c>
      <c r="F52" s="20" t="s">
        <v>294</v>
      </c>
      <c r="G52" s="16" t="s">
        <v>296</v>
      </c>
      <c r="H52" s="20" t="s">
        <v>296</v>
      </c>
      <c r="I52" s="20" t="s">
        <v>296</v>
      </c>
      <c r="J52" s="20" t="s">
        <v>296</v>
      </c>
      <c r="K52" s="20" t="s">
        <v>296</v>
      </c>
      <c r="L52" s="20" t="s">
        <v>296</v>
      </c>
      <c r="M52" s="20" t="s">
        <v>296</v>
      </c>
      <c r="N52" s="20" t="s">
        <v>296</v>
      </c>
      <c r="O52" s="20" t="s">
        <v>296</v>
      </c>
      <c r="P52" s="20" t="s">
        <v>296</v>
      </c>
      <c r="Q52" s="20" t="s">
        <v>296</v>
      </c>
      <c r="R52" s="8"/>
      <c r="S52" s="8"/>
      <c r="T52" s="8"/>
      <c r="U52" s="8"/>
      <c r="V52" s="8"/>
      <c r="W52" s="8"/>
      <c r="X52" s="8"/>
      <c r="Y52" s="8"/>
      <c r="Z52" s="8"/>
    </row>
    <row r="53">
      <c r="A53" s="11" t="s">
        <v>298</v>
      </c>
      <c r="B53" s="20" t="s">
        <v>299</v>
      </c>
      <c r="C53" s="20" t="s">
        <v>299</v>
      </c>
      <c r="D53" s="20" t="s">
        <v>300</v>
      </c>
      <c r="E53" s="20" t="s">
        <v>300</v>
      </c>
      <c r="F53" s="20" t="s">
        <v>301</v>
      </c>
      <c r="G53" s="20" t="s">
        <v>302</v>
      </c>
      <c r="H53" s="20" t="s">
        <v>303</v>
      </c>
      <c r="I53" s="20" t="s">
        <v>303</v>
      </c>
      <c r="J53" s="20" t="s">
        <v>303</v>
      </c>
      <c r="K53" s="20" t="s">
        <v>304</v>
      </c>
      <c r="L53" s="20" t="s">
        <v>304</v>
      </c>
      <c r="M53" s="20" t="s">
        <v>304</v>
      </c>
      <c r="N53" s="20" t="s">
        <v>305</v>
      </c>
      <c r="O53" s="20" t="s">
        <v>306</v>
      </c>
      <c r="P53" s="20" t="s">
        <v>307</v>
      </c>
      <c r="Q53" s="20" t="s">
        <v>308</v>
      </c>
      <c r="R53" s="8"/>
      <c r="S53" s="8"/>
      <c r="T53" s="8"/>
      <c r="U53" s="8"/>
      <c r="V53" s="8"/>
      <c r="W53" s="8"/>
      <c r="X53" s="8"/>
      <c r="Y53" s="8"/>
      <c r="Z53" s="8"/>
    </row>
    <row r="54">
      <c r="A54" s="11" t="s">
        <v>309</v>
      </c>
      <c r="B54" s="20" t="s">
        <v>310</v>
      </c>
      <c r="C54" s="20" t="s">
        <v>310</v>
      </c>
      <c r="D54" s="20" t="s">
        <v>310</v>
      </c>
      <c r="E54" s="16" t="s">
        <v>311</v>
      </c>
      <c r="F54" s="20" t="s">
        <v>310</v>
      </c>
      <c r="G54" s="20" t="s">
        <v>310</v>
      </c>
      <c r="H54" s="20" t="s">
        <v>312</v>
      </c>
      <c r="I54" s="20" t="s">
        <v>312</v>
      </c>
      <c r="J54" s="20" t="s">
        <v>312</v>
      </c>
      <c r="K54" s="20" t="s">
        <v>313</v>
      </c>
      <c r="L54" s="20" t="s">
        <v>310</v>
      </c>
      <c r="M54" s="20" t="s">
        <v>314</v>
      </c>
      <c r="N54" s="20" t="s">
        <v>315</v>
      </c>
      <c r="O54" s="20" t="s">
        <v>315</v>
      </c>
      <c r="P54" s="20" t="s">
        <v>315</v>
      </c>
      <c r="Q54" s="20" t="s">
        <v>316</v>
      </c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317</v>
      </c>
      <c r="B55" s="20" t="s">
        <v>318</v>
      </c>
      <c r="C55" s="20" t="s">
        <v>318</v>
      </c>
      <c r="D55" s="16" t="s">
        <v>319</v>
      </c>
      <c r="E55" s="16" t="s">
        <v>320</v>
      </c>
      <c r="F55" s="16" t="s">
        <v>321</v>
      </c>
      <c r="G55" s="16" t="s">
        <v>322</v>
      </c>
      <c r="H55" s="16" t="s">
        <v>321</v>
      </c>
      <c r="I55" s="16" t="s">
        <v>321</v>
      </c>
      <c r="J55" s="16" t="s">
        <v>321</v>
      </c>
      <c r="K55" s="16" t="s">
        <v>323</v>
      </c>
      <c r="L55" s="16" t="s">
        <v>323</v>
      </c>
      <c r="M55" s="16" t="s">
        <v>323</v>
      </c>
      <c r="N55" s="16" t="s">
        <v>324</v>
      </c>
      <c r="O55" s="16" t="s">
        <v>325</v>
      </c>
      <c r="P55" s="16" t="s">
        <v>326</v>
      </c>
      <c r="Q55" s="16" t="s">
        <v>327</v>
      </c>
      <c r="R55" s="8"/>
      <c r="S55" s="8"/>
      <c r="T55" s="8"/>
      <c r="U55" s="8"/>
      <c r="V55" s="8"/>
      <c r="W55" s="8"/>
      <c r="X55" s="8"/>
      <c r="Y55" s="8"/>
      <c r="Z55" s="8"/>
    </row>
    <row r="56">
      <c r="A56" s="11" t="s">
        <v>328</v>
      </c>
      <c r="B56" s="20" t="s">
        <v>329</v>
      </c>
      <c r="C56" s="20" t="s">
        <v>329</v>
      </c>
      <c r="D56" s="20" t="s">
        <v>330</v>
      </c>
      <c r="E56" s="20" t="s">
        <v>330</v>
      </c>
      <c r="F56" s="20" t="s">
        <v>331</v>
      </c>
      <c r="G56" s="20" t="s">
        <v>329</v>
      </c>
      <c r="H56" s="16" t="s">
        <v>330</v>
      </c>
      <c r="I56" s="16" t="s">
        <v>330</v>
      </c>
      <c r="J56" s="16" t="s">
        <v>330</v>
      </c>
      <c r="K56" s="20" t="s">
        <v>329</v>
      </c>
      <c r="L56" s="20" t="s">
        <v>329</v>
      </c>
      <c r="M56" s="20" t="s">
        <v>329</v>
      </c>
      <c r="N56" s="16" t="s">
        <v>332</v>
      </c>
      <c r="O56" s="16" t="s">
        <v>332</v>
      </c>
      <c r="P56" s="16" t="s">
        <v>332</v>
      </c>
      <c r="Q56" s="16" t="s">
        <v>332</v>
      </c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333</v>
      </c>
      <c r="B57" s="20" t="s">
        <v>334</v>
      </c>
      <c r="C57" s="20" t="s">
        <v>334</v>
      </c>
      <c r="D57" s="20" t="s">
        <v>334</v>
      </c>
      <c r="E57" s="20" t="s">
        <v>335</v>
      </c>
      <c r="F57" s="20" t="s">
        <v>334</v>
      </c>
      <c r="G57" s="20" t="s">
        <v>334</v>
      </c>
      <c r="H57" s="20" t="s">
        <v>334</v>
      </c>
      <c r="I57" s="20" t="s">
        <v>334</v>
      </c>
      <c r="J57" s="20" t="s">
        <v>334</v>
      </c>
      <c r="K57" s="20" t="s">
        <v>334</v>
      </c>
      <c r="L57" s="20" t="s">
        <v>334</v>
      </c>
      <c r="M57" s="20" t="s">
        <v>334</v>
      </c>
      <c r="N57" s="20" t="s">
        <v>335</v>
      </c>
      <c r="O57" s="20" t="s">
        <v>335</v>
      </c>
      <c r="P57" s="20" t="s">
        <v>335</v>
      </c>
      <c r="Q57" s="20" t="s">
        <v>335</v>
      </c>
      <c r="R57" s="8"/>
      <c r="S57" s="8"/>
      <c r="T57" s="8"/>
      <c r="U57" s="8"/>
      <c r="V57" s="8"/>
      <c r="W57" s="8"/>
      <c r="X57" s="8"/>
      <c r="Y57" s="8"/>
      <c r="Z57" s="8"/>
    </row>
    <row r="58">
      <c r="A58" s="11" t="s">
        <v>336</v>
      </c>
      <c r="B58" s="16" t="s">
        <v>337</v>
      </c>
      <c r="C58" s="16" t="s">
        <v>338</v>
      </c>
      <c r="D58" s="16" t="s">
        <v>339</v>
      </c>
      <c r="E58" s="16" t="s">
        <v>340</v>
      </c>
      <c r="F58" s="16" t="s">
        <v>341</v>
      </c>
      <c r="G58" s="16" t="s">
        <v>342</v>
      </c>
      <c r="H58" s="16" t="s">
        <v>343</v>
      </c>
      <c r="I58" s="16" t="s">
        <v>343</v>
      </c>
      <c r="J58" s="16" t="s">
        <v>343</v>
      </c>
      <c r="K58" s="16" t="s">
        <v>344</v>
      </c>
      <c r="L58" s="16" t="s">
        <v>344</v>
      </c>
      <c r="M58" s="16" t="s">
        <v>344</v>
      </c>
      <c r="N58" s="20" t="s">
        <v>345</v>
      </c>
      <c r="O58" s="20" t="s">
        <v>345</v>
      </c>
      <c r="P58" s="20" t="s">
        <v>345</v>
      </c>
      <c r="Q58" s="20" t="s">
        <v>345</v>
      </c>
      <c r="R58" s="8"/>
      <c r="S58" s="8"/>
      <c r="T58" s="8"/>
      <c r="U58" s="8"/>
      <c r="V58" s="8"/>
      <c r="W58" s="8"/>
      <c r="X58" s="8"/>
      <c r="Y58" s="8"/>
      <c r="Z58" s="8"/>
    </row>
    <row r="59">
      <c r="A59" s="11" t="s">
        <v>346</v>
      </c>
      <c r="B59" s="16" t="s">
        <v>347</v>
      </c>
      <c r="C59" s="16" t="s">
        <v>348</v>
      </c>
      <c r="D59" s="16" t="s">
        <v>349</v>
      </c>
      <c r="E59" s="16" t="s">
        <v>350</v>
      </c>
      <c r="F59" s="16" t="s">
        <v>350</v>
      </c>
      <c r="G59" s="16" t="s">
        <v>351</v>
      </c>
      <c r="H59" s="16" t="s">
        <v>352</v>
      </c>
      <c r="I59" s="16" t="s">
        <v>352</v>
      </c>
      <c r="J59" s="16" t="s">
        <v>352</v>
      </c>
      <c r="K59" s="16" t="s">
        <v>353</v>
      </c>
      <c r="L59" s="16" t="s">
        <v>168</v>
      </c>
      <c r="M59" s="16" t="s">
        <v>353</v>
      </c>
      <c r="N59" s="20" t="s">
        <v>354</v>
      </c>
      <c r="O59" s="20" t="s">
        <v>355</v>
      </c>
      <c r="P59" s="20" t="s">
        <v>356</v>
      </c>
      <c r="Q59" s="20" t="s">
        <v>357</v>
      </c>
      <c r="R59" s="8"/>
      <c r="S59" s="8"/>
      <c r="T59" s="8"/>
      <c r="U59" s="8"/>
      <c r="V59" s="8"/>
      <c r="W59" s="8"/>
      <c r="X59" s="8"/>
      <c r="Y59" s="8"/>
      <c r="Z59" s="8"/>
    </row>
    <row r="60">
      <c r="A60" s="11" t="s">
        <v>358</v>
      </c>
      <c r="B60" s="16" t="s">
        <v>359</v>
      </c>
      <c r="C60" s="16" t="s">
        <v>168</v>
      </c>
      <c r="D60" s="16" t="s">
        <v>168</v>
      </c>
      <c r="E60" s="16" t="s">
        <v>359</v>
      </c>
      <c r="F60" s="16" t="s">
        <v>168</v>
      </c>
      <c r="G60" s="16" t="s">
        <v>359</v>
      </c>
      <c r="H60" s="16" t="s">
        <v>359</v>
      </c>
      <c r="I60" s="16" t="s">
        <v>168</v>
      </c>
      <c r="J60" s="16" t="s">
        <v>168</v>
      </c>
      <c r="K60" s="16" t="s">
        <v>168</v>
      </c>
      <c r="L60" s="16" t="s">
        <v>168</v>
      </c>
      <c r="M60" s="16" t="s">
        <v>168</v>
      </c>
      <c r="N60" s="20" t="s">
        <v>360</v>
      </c>
      <c r="O60" s="20" t="s">
        <v>360</v>
      </c>
      <c r="P60" s="20" t="s">
        <v>360</v>
      </c>
      <c r="Q60" s="20" t="s">
        <v>360</v>
      </c>
      <c r="R60" s="8"/>
      <c r="S60" s="8"/>
      <c r="T60" s="8"/>
      <c r="U60" s="8"/>
      <c r="V60" s="8"/>
      <c r="W60" s="8"/>
      <c r="X60" s="8"/>
      <c r="Y60" s="8"/>
      <c r="Z60" s="8"/>
    </row>
    <row r="61">
      <c r="A61" s="11" t="s">
        <v>361</v>
      </c>
      <c r="B61" s="24" t="s">
        <v>362</v>
      </c>
      <c r="C61" s="16" t="s">
        <v>168</v>
      </c>
      <c r="D61" s="16" t="s">
        <v>168</v>
      </c>
      <c r="E61" s="24" t="s">
        <v>362</v>
      </c>
      <c r="F61" s="16" t="s">
        <v>168</v>
      </c>
      <c r="G61" s="24" t="s">
        <v>362</v>
      </c>
      <c r="H61" s="24" t="s">
        <v>362</v>
      </c>
      <c r="I61" s="16" t="s">
        <v>168</v>
      </c>
      <c r="J61" s="16" t="s">
        <v>168</v>
      </c>
      <c r="K61" s="16" t="s">
        <v>168</v>
      </c>
      <c r="L61" s="16" t="s">
        <v>168</v>
      </c>
      <c r="M61" s="16" t="s">
        <v>168</v>
      </c>
      <c r="N61" s="24" t="s">
        <v>362</v>
      </c>
      <c r="O61" s="24" t="s">
        <v>362</v>
      </c>
      <c r="P61" s="24" t="s">
        <v>362</v>
      </c>
      <c r="Q61" s="24" t="s">
        <v>362</v>
      </c>
      <c r="R61" s="8"/>
      <c r="S61" s="8"/>
      <c r="T61" s="8"/>
      <c r="U61" s="8"/>
      <c r="V61" s="8"/>
      <c r="W61" s="8"/>
      <c r="X61" s="8"/>
      <c r="Y61" s="8"/>
      <c r="Z61" s="8"/>
    </row>
    <row r="62">
      <c r="A62" s="11" t="s">
        <v>363</v>
      </c>
      <c r="B62" s="16" t="s">
        <v>364</v>
      </c>
      <c r="C62" s="16" t="s">
        <v>364</v>
      </c>
      <c r="D62" s="16" t="s">
        <v>365</v>
      </c>
      <c r="E62" s="16" t="s">
        <v>364</v>
      </c>
      <c r="F62" s="16" t="s">
        <v>366</v>
      </c>
      <c r="G62" s="16" t="s">
        <v>367</v>
      </c>
      <c r="H62" s="16" t="s">
        <v>368</v>
      </c>
      <c r="I62" s="25" t="s">
        <v>369</v>
      </c>
      <c r="J62" s="25" t="s">
        <v>369</v>
      </c>
      <c r="K62" s="16" t="s">
        <v>367</v>
      </c>
      <c r="L62" s="16" t="s">
        <v>367</v>
      </c>
      <c r="M62" s="16" t="s">
        <v>367</v>
      </c>
      <c r="N62" s="16" t="s">
        <v>370</v>
      </c>
      <c r="O62" s="16" t="s">
        <v>370</v>
      </c>
      <c r="P62" s="16" t="s">
        <v>370</v>
      </c>
      <c r="Q62" s="16" t="s">
        <v>370</v>
      </c>
      <c r="R62" s="8"/>
      <c r="S62" s="8"/>
      <c r="T62" s="8"/>
      <c r="U62" s="8"/>
      <c r="V62" s="8"/>
      <c r="W62" s="8"/>
      <c r="X62" s="8"/>
      <c r="Y62" s="8"/>
      <c r="Z62" s="8"/>
    </row>
    <row r="63">
      <c r="A63" s="11" t="s">
        <v>371</v>
      </c>
      <c r="B63" s="20" t="s">
        <v>372</v>
      </c>
      <c r="C63" s="20" t="s">
        <v>372</v>
      </c>
      <c r="D63" s="20" t="s">
        <v>372</v>
      </c>
      <c r="E63" s="20" t="s">
        <v>372</v>
      </c>
      <c r="F63" s="20" t="s">
        <v>372</v>
      </c>
      <c r="G63" s="20" t="s">
        <v>372</v>
      </c>
      <c r="H63" s="20" t="s">
        <v>372</v>
      </c>
      <c r="I63" s="20" t="s">
        <v>372</v>
      </c>
      <c r="J63" s="20" t="s">
        <v>372</v>
      </c>
      <c r="K63" s="20" t="s">
        <v>372</v>
      </c>
      <c r="L63" s="20" t="s">
        <v>372</v>
      </c>
      <c r="M63" s="20" t="s">
        <v>372</v>
      </c>
      <c r="N63" s="20" t="s">
        <v>372</v>
      </c>
      <c r="O63" s="20" t="s">
        <v>372</v>
      </c>
      <c r="P63" s="20" t="s">
        <v>372</v>
      </c>
      <c r="Q63" s="20" t="s">
        <v>372</v>
      </c>
      <c r="R63" s="8"/>
      <c r="S63" s="8"/>
      <c r="T63" s="8"/>
      <c r="U63" s="8"/>
      <c r="V63" s="8"/>
      <c r="W63" s="8"/>
      <c r="X63" s="8"/>
      <c r="Y63" s="8"/>
      <c r="Z63" s="8"/>
    </row>
    <row r="64">
      <c r="A64" s="6" t="s">
        <v>373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 t="s">
        <v>374</v>
      </c>
      <c r="B65" s="20" t="s">
        <v>375</v>
      </c>
      <c r="C65" s="20" t="s">
        <v>375</v>
      </c>
      <c r="D65" s="20" t="s">
        <v>375</v>
      </c>
      <c r="E65" s="20" t="s">
        <v>375</v>
      </c>
      <c r="F65" s="20" t="s">
        <v>375</v>
      </c>
      <c r="G65" s="20" t="s">
        <v>375</v>
      </c>
      <c r="H65" s="20" t="s">
        <v>375</v>
      </c>
      <c r="I65" s="20" t="s">
        <v>375</v>
      </c>
      <c r="J65" s="20" t="s">
        <v>375</v>
      </c>
      <c r="K65" s="20" t="s">
        <v>375</v>
      </c>
      <c r="L65" s="20" t="s">
        <v>375</v>
      </c>
      <c r="M65" s="20" t="s">
        <v>375</v>
      </c>
      <c r="N65" s="20" t="s">
        <v>375</v>
      </c>
      <c r="O65" s="20" t="s">
        <v>375</v>
      </c>
      <c r="P65" s="20" t="s">
        <v>375</v>
      </c>
      <c r="Q65" s="20" t="s">
        <v>375</v>
      </c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376</v>
      </c>
      <c r="B66" s="20" t="s">
        <v>168</v>
      </c>
      <c r="C66" s="25" t="s">
        <v>377</v>
      </c>
      <c r="D66" s="20" t="s">
        <v>168</v>
      </c>
      <c r="E66" s="20" t="s">
        <v>168</v>
      </c>
      <c r="F66" s="20" t="s">
        <v>168</v>
      </c>
      <c r="G66" s="20" t="s">
        <v>168</v>
      </c>
      <c r="H66" s="16" t="s">
        <v>378</v>
      </c>
      <c r="I66" s="16" t="s">
        <v>378</v>
      </c>
      <c r="J66" s="16" t="s">
        <v>378</v>
      </c>
      <c r="K66" s="16" t="s">
        <v>191</v>
      </c>
      <c r="L66" s="16" t="s">
        <v>191</v>
      </c>
      <c r="M66" s="16" t="s">
        <v>191</v>
      </c>
      <c r="N66" s="16" t="s">
        <v>191</v>
      </c>
      <c r="O66" s="16" t="s">
        <v>191</v>
      </c>
      <c r="P66" s="16" t="s">
        <v>191</v>
      </c>
      <c r="Q66" s="16" t="s">
        <v>191</v>
      </c>
      <c r="R66" s="8"/>
      <c r="S66" s="8"/>
      <c r="T66" s="8"/>
      <c r="U66" s="8"/>
      <c r="V66" s="8"/>
      <c r="W66" s="8"/>
      <c r="X66" s="8"/>
      <c r="Y66" s="8"/>
      <c r="Z66" s="8"/>
    </row>
    <row r="67">
      <c r="A67" s="9" t="s">
        <v>379</v>
      </c>
      <c r="B67" s="20" t="s">
        <v>380</v>
      </c>
      <c r="C67" s="20" t="s">
        <v>380</v>
      </c>
      <c r="D67" s="20" t="s">
        <v>380</v>
      </c>
      <c r="E67" s="20" t="s">
        <v>380</v>
      </c>
      <c r="F67" s="20" t="s">
        <v>380</v>
      </c>
      <c r="G67" s="20" t="s">
        <v>380</v>
      </c>
      <c r="H67" s="20" t="s">
        <v>191</v>
      </c>
      <c r="I67" s="20" t="s">
        <v>191</v>
      </c>
      <c r="J67" s="20" t="s">
        <v>191</v>
      </c>
      <c r="K67" s="25" t="s">
        <v>381</v>
      </c>
      <c r="L67" s="25" t="s">
        <v>381</v>
      </c>
      <c r="M67" s="25" t="s">
        <v>381</v>
      </c>
      <c r="N67" s="25" t="s">
        <v>186</v>
      </c>
      <c r="O67" s="25" t="s">
        <v>186</v>
      </c>
      <c r="P67" s="25" t="s">
        <v>186</v>
      </c>
      <c r="Q67" s="25" t="s">
        <v>186</v>
      </c>
      <c r="R67" s="8"/>
      <c r="S67" s="8"/>
      <c r="T67" s="8"/>
      <c r="U67" s="8"/>
      <c r="V67" s="8"/>
      <c r="W67" s="8"/>
      <c r="X67" s="8"/>
      <c r="Y67" s="8"/>
      <c r="Z67" s="8"/>
    </row>
    <row r="68">
      <c r="A68" s="9" t="s">
        <v>382</v>
      </c>
      <c r="B68" s="20" t="s">
        <v>383</v>
      </c>
      <c r="C68" s="20" t="s">
        <v>383</v>
      </c>
      <c r="D68" s="20" t="s">
        <v>383</v>
      </c>
      <c r="E68" s="20" t="s">
        <v>383</v>
      </c>
      <c r="F68" s="20" t="s">
        <v>383</v>
      </c>
      <c r="G68" s="20" t="s">
        <v>383</v>
      </c>
      <c r="H68" s="20" t="s">
        <v>383</v>
      </c>
      <c r="I68" s="20" t="s">
        <v>383</v>
      </c>
      <c r="J68" s="20" t="s">
        <v>383</v>
      </c>
      <c r="K68" s="20" t="s">
        <v>383</v>
      </c>
      <c r="L68" s="20" t="s">
        <v>383</v>
      </c>
      <c r="M68" s="20" t="s">
        <v>383</v>
      </c>
      <c r="N68" s="20" t="s">
        <v>383</v>
      </c>
      <c r="O68" s="20" t="s">
        <v>383</v>
      </c>
      <c r="P68" s="20" t="s">
        <v>383</v>
      </c>
      <c r="Q68" s="20" t="s">
        <v>383</v>
      </c>
      <c r="R68" s="8"/>
      <c r="S68" s="8"/>
      <c r="T68" s="8"/>
      <c r="U68" s="8"/>
      <c r="V68" s="8"/>
      <c r="W68" s="8"/>
      <c r="X68" s="8"/>
      <c r="Y68" s="8"/>
      <c r="Z68" s="8"/>
    </row>
    <row r="69">
      <c r="A69" s="6" t="s">
        <v>384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 t="s">
        <v>385</v>
      </c>
      <c r="B70" s="16" t="s">
        <v>386</v>
      </c>
      <c r="C70" s="16" t="s">
        <v>386</v>
      </c>
      <c r="D70" s="16" t="s">
        <v>386</v>
      </c>
      <c r="E70" s="16" t="s">
        <v>386</v>
      </c>
      <c r="F70" s="16" t="s">
        <v>386</v>
      </c>
      <c r="G70" s="16" t="s">
        <v>386</v>
      </c>
      <c r="H70" s="16" t="s">
        <v>386</v>
      </c>
      <c r="I70" s="16" t="s">
        <v>386</v>
      </c>
      <c r="J70" s="16" t="s">
        <v>386</v>
      </c>
      <c r="K70" s="16" t="s">
        <v>386</v>
      </c>
      <c r="L70" s="16" t="s">
        <v>386</v>
      </c>
      <c r="M70" s="16" t="s">
        <v>386</v>
      </c>
      <c r="N70" s="16" t="s">
        <v>386</v>
      </c>
      <c r="O70" s="16" t="s">
        <v>386</v>
      </c>
      <c r="P70" s="16" t="s">
        <v>386</v>
      </c>
      <c r="Q70" s="16" t="s">
        <v>386</v>
      </c>
      <c r="R70" s="8"/>
      <c r="S70" s="8"/>
      <c r="T70" s="8"/>
      <c r="U70" s="8"/>
      <c r="V70" s="8"/>
      <c r="W70" s="8"/>
      <c r="X70" s="8"/>
      <c r="Y70" s="8"/>
      <c r="Z70" s="8"/>
    </row>
    <row r="71">
      <c r="A71" s="11" t="s">
        <v>387</v>
      </c>
      <c r="B71" s="20" t="s">
        <v>186</v>
      </c>
      <c r="C71" s="20" t="s">
        <v>186</v>
      </c>
      <c r="D71" s="20" t="s">
        <v>186</v>
      </c>
      <c r="E71" s="20" t="s">
        <v>186</v>
      </c>
      <c r="F71" s="20" t="s">
        <v>186</v>
      </c>
      <c r="G71" s="20" t="s">
        <v>186</v>
      </c>
      <c r="H71" s="20" t="s">
        <v>186</v>
      </c>
      <c r="I71" s="20" t="s">
        <v>186</v>
      </c>
      <c r="J71" s="20" t="s">
        <v>186</v>
      </c>
      <c r="K71" s="20" t="s">
        <v>186</v>
      </c>
      <c r="L71" s="20" t="s">
        <v>186</v>
      </c>
      <c r="M71" s="20" t="s">
        <v>186</v>
      </c>
      <c r="N71" s="20" t="s">
        <v>186</v>
      </c>
      <c r="O71" s="20" t="s">
        <v>186</v>
      </c>
      <c r="P71" s="20" t="s">
        <v>186</v>
      </c>
      <c r="Q71" s="20" t="s">
        <v>168</v>
      </c>
      <c r="R71" s="8"/>
      <c r="S71" s="8"/>
      <c r="T71" s="8"/>
      <c r="U71" s="8"/>
      <c r="V71" s="8"/>
      <c r="W71" s="8"/>
      <c r="X71" s="8"/>
      <c r="Y71" s="8"/>
      <c r="Z71" s="8"/>
    </row>
    <row r="72">
      <c r="A72" s="11" t="s">
        <v>388</v>
      </c>
      <c r="B72" s="20" t="s">
        <v>168</v>
      </c>
      <c r="C72" s="20" t="s">
        <v>168</v>
      </c>
      <c r="D72" s="20" t="s">
        <v>168</v>
      </c>
      <c r="E72" s="20" t="s">
        <v>168</v>
      </c>
      <c r="F72" s="20" t="s">
        <v>168</v>
      </c>
      <c r="G72" s="20" t="s">
        <v>389</v>
      </c>
      <c r="H72" s="20" t="s">
        <v>168</v>
      </c>
      <c r="I72" s="20" t="s">
        <v>168</v>
      </c>
      <c r="J72" s="20" t="s">
        <v>168</v>
      </c>
      <c r="K72" s="20" t="s">
        <v>168</v>
      </c>
      <c r="L72" s="20" t="s">
        <v>168</v>
      </c>
      <c r="M72" s="20" t="s">
        <v>168</v>
      </c>
      <c r="N72" s="20" t="s">
        <v>168</v>
      </c>
      <c r="O72" s="20" t="s">
        <v>168</v>
      </c>
      <c r="P72" s="20" t="s">
        <v>168</v>
      </c>
      <c r="Q72" s="20" t="s">
        <v>168</v>
      </c>
      <c r="R72" s="8"/>
      <c r="S72" s="8"/>
      <c r="T72" s="8"/>
      <c r="U72" s="8"/>
      <c r="V72" s="8"/>
      <c r="W72" s="8"/>
      <c r="X72" s="8"/>
      <c r="Y72" s="8"/>
      <c r="Z72" s="8"/>
    </row>
    <row r="73">
      <c r="A73" s="11" t="s">
        <v>390</v>
      </c>
      <c r="B73" s="20" t="s">
        <v>391</v>
      </c>
      <c r="C73" s="20" t="s">
        <v>391</v>
      </c>
      <c r="D73" s="20" t="s">
        <v>392</v>
      </c>
      <c r="E73" s="20" t="s">
        <v>392</v>
      </c>
      <c r="F73" s="20" t="s">
        <v>392</v>
      </c>
      <c r="G73" s="10" t="s">
        <v>168</v>
      </c>
      <c r="H73" s="20" t="s">
        <v>392</v>
      </c>
      <c r="I73" s="20" t="s">
        <v>392</v>
      </c>
      <c r="J73" s="20" t="s">
        <v>392</v>
      </c>
      <c r="K73" s="20" t="s">
        <v>392</v>
      </c>
      <c r="L73" s="20" t="s">
        <v>392</v>
      </c>
      <c r="M73" s="20" t="s">
        <v>392</v>
      </c>
      <c r="N73" s="20" t="s">
        <v>391</v>
      </c>
      <c r="O73" s="20" t="s">
        <v>391</v>
      </c>
      <c r="P73" s="20" t="s">
        <v>391</v>
      </c>
      <c r="Q73" s="20" t="s">
        <v>391</v>
      </c>
      <c r="R73" s="8"/>
      <c r="S73" s="8"/>
      <c r="T73" s="8"/>
      <c r="U73" s="8"/>
      <c r="V73" s="8"/>
      <c r="W73" s="8"/>
      <c r="X73" s="8"/>
      <c r="Y73" s="8"/>
      <c r="Z73" s="8"/>
    </row>
    <row r="74">
      <c r="A74" s="11" t="s">
        <v>393</v>
      </c>
      <c r="B74" s="25" t="s">
        <v>394</v>
      </c>
      <c r="C74" s="25" t="s">
        <v>394</v>
      </c>
      <c r="D74" s="16" t="s">
        <v>168</v>
      </c>
      <c r="E74" s="25" t="s">
        <v>394</v>
      </c>
      <c r="F74" s="16" t="s">
        <v>168</v>
      </c>
      <c r="G74" s="16" t="s">
        <v>168</v>
      </c>
      <c r="H74" s="25" t="s">
        <v>394</v>
      </c>
      <c r="I74" s="25" t="s">
        <v>394</v>
      </c>
      <c r="J74" s="25" t="s">
        <v>394</v>
      </c>
      <c r="K74" s="25" t="s">
        <v>394</v>
      </c>
      <c r="L74" s="20" t="s">
        <v>168</v>
      </c>
      <c r="M74" s="20" t="s">
        <v>168</v>
      </c>
      <c r="N74" s="20" t="s">
        <v>395</v>
      </c>
      <c r="O74" s="20" t="s">
        <v>395</v>
      </c>
      <c r="P74" s="20" t="s">
        <v>395</v>
      </c>
      <c r="Q74" s="20" t="s">
        <v>395</v>
      </c>
      <c r="R74" s="8"/>
      <c r="S74" s="8"/>
      <c r="T74" s="8"/>
      <c r="U74" s="8"/>
      <c r="V74" s="8"/>
      <c r="W74" s="8"/>
      <c r="X74" s="8"/>
      <c r="Y74" s="8"/>
      <c r="Z74" s="8"/>
    </row>
    <row r="75">
      <c r="A75" s="11" t="s">
        <v>396</v>
      </c>
      <c r="B75" s="20" t="s">
        <v>186</v>
      </c>
      <c r="C75" s="20" t="s">
        <v>186</v>
      </c>
      <c r="D75" s="16" t="s">
        <v>168</v>
      </c>
      <c r="E75" s="20" t="s">
        <v>186</v>
      </c>
      <c r="F75" s="16" t="s">
        <v>168</v>
      </c>
      <c r="G75" s="16" t="s">
        <v>168</v>
      </c>
      <c r="H75" s="20" t="s">
        <v>186</v>
      </c>
      <c r="I75" s="20" t="s">
        <v>186</v>
      </c>
      <c r="J75" s="20" t="s">
        <v>186</v>
      </c>
      <c r="K75" s="20" t="s">
        <v>186</v>
      </c>
      <c r="L75" s="20" t="s">
        <v>168</v>
      </c>
      <c r="M75" s="20" t="s">
        <v>168</v>
      </c>
      <c r="N75" s="20" t="s">
        <v>186</v>
      </c>
      <c r="O75" s="20" t="s">
        <v>186</v>
      </c>
      <c r="P75" s="20" t="s">
        <v>186</v>
      </c>
      <c r="Q75" s="20" t="s">
        <v>186</v>
      </c>
      <c r="R75" s="8"/>
      <c r="S75" s="8"/>
      <c r="T75" s="8"/>
      <c r="U75" s="8"/>
      <c r="V75" s="8"/>
      <c r="W75" s="8"/>
      <c r="X75" s="8"/>
      <c r="Y75" s="8"/>
      <c r="Z75" s="8"/>
    </row>
    <row r="76">
      <c r="A76" s="11" t="s">
        <v>397</v>
      </c>
      <c r="B76" s="20" t="s">
        <v>186</v>
      </c>
      <c r="C76" s="20" t="s">
        <v>186</v>
      </c>
      <c r="D76" s="20" t="s">
        <v>186</v>
      </c>
      <c r="E76" s="20" t="s">
        <v>186</v>
      </c>
      <c r="F76" s="20" t="s">
        <v>186</v>
      </c>
      <c r="G76" s="20" t="s">
        <v>186</v>
      </c>
      <c r="H76" s="20" t="s">
        <v>186</v>
      </c>
      <c r="I76" s="20" t="s">
        <v>186</v>
      </c>
      <c r="J76" s="20" t="s">
        <v>186</v>
      </c>
      <c r="K76" s="20" t="s">
        <v>186</v>
      </c>
      <c r="L76" s="20" t="s">
        <v>186</v>
      </c>
      <c r="M76" s="20" t="s">
        <v>186</v>
      </c>
      <c r="N76" s="20" t="s">
        <v>186</v>
      </c>
      <c r="O76" s="20" t="s">
        <v>186</v>
      </c>
      <c r="P76" s="20" t="s">
        <v>186</v>
      </c>
      <c r="Q76" s="20" t="s">
        <v>186</v>
      </c>
      <c r="R76" s="8"/>
      <c r="S76" s="8"/>
      <c r="T76" s="8"/>
      <c r="U76" s="8"/>
      <c r="V76" s="8"/>
      <c r="W76" s="8"/>
      <c r="X76" s="8"/>
      <c r="Y76" s="8"/>
      <c r="Z76" s="8"/>
    </row>
    <row r="77">
      <c r="A77" s="6" t="s">
        <v>398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 t="s">
        <v>399</v>
      </c>
      <c r="B78" s="20" t="s">
        <v>400</v>
      </c>
      <c r="C78" s="20" t="s">
        <v>400</v>
      </c>
      <c r="D78" s="20" t="s">
        <v>400</v>
      </c>
      <c r="E78" s="20" t="s">
        <v>400</v>
      </c>
      <c r="F78" s="20" t="s">
        <v>400</v>
      </c>
      <c r="G78" s="20" t="s">
        <v>400</v>
      </c>
      <c r="H78" s="20" t="s">
        <v>400</v>
      </c>
      <c r="I78" s="20" t="s">
        <v>400</v>
      </c>
      <c r="J78" s="20" t="s">
        <v>400</v>
      </c>
      <c r="K78" s="20" t="s">
        <v>400</v>
      </c>
      <c r="L78" s="20" t="s">
        <v>401</v>
      </c>
      <c r="M78" s="20" t="s">
        <v>402</v>
      </c>
      <c r="N78" s="20" t="s">
        <v>400</v>
      </c>
      <c r="O78" s="20" t="s">
        <v>400</v>
      </c>
      <c r="P78" s="20" t="s">
        <v>400</v>
      </c>
      <c r="Q78" s="20" t="s">
        <v>400</v>
      </c>
      <c r="R78" s="8"/>
      <c r="S78" s="8"/>
      <c r="T78" s="8"/>
      <c r="U78" s="8"/>
      <c r="V78" s="8"/>
      <c r="W78" s="8"/>
      <c r="X78" s="8"/>
      <c r="Y78" s="8"/>
      <c r="Z78" s="8"/>
    </row>
    <row r="79">
      <c r="A79" s="11" t="s">
        <v>403</v>
      </c>
      <c r="B79" s="21" t="s">
        <v>404</v>
      </c>
      <c r="C79" s="21" t="s">
        <v>404</v>
      </c>
      <c r="D79" s="21" t="s">
        <v>404</v>
      </c>
      <c r="E79" s="21" t="s">
        <v>404</v>
      </c>
      <c r="F79" s="21" t="s">
        <v>404</v>
      </c>
      <c r="G79" s="21" t="s">
        <v>404</v>
      </c>
      <c r="H79" s="21" t="s">
        <v>404</v>
      </c>
      <c r="I79" s="21" t="s">
        <v>404</v>
      </c>
      <c r="J79" s="21" t="s">
        <v>404</v>
      </c>
      <c r="K79" s="21" t="s">
        <v>404</v>
      </c>
      <c r="L79" s="21" t="s">
        <v>404</v>
      </c>
      <c r="M79" s="21" t="s">
        <v>404</v>
      </c>
      <c r="N79" s="21" t="s">
        <v>404</v>
      </c>
      <c r="O79" s="21" t="s">
        <v>404</v>
      </c>
      <c r="P79" s="21" t="s">
        <v>404</v>
      </c>
      <c r="Q79" s="21" t="s">
        <v>404</v>
      </c>
      <c r="R79" s="8"/>
      <c r="S79" s="8"/>
      <c r="T79" s="8"/>
      <c r="U79" s="8"/>
      <c r="V79" s="8"/>
      <c r="W79" s="8"/>
      <c r="X79" s="8"/>
      <c r="Y79" s="8"/>
      <c r="Z79" s="8"/>
    </row>
    <row r="80">
      <c r="A80" s="11" t="s">
        <v>405</v>
      </c>
      <c r="B80" s="21">
        <v>3000.0</v>
      </c>
      <c r="C80" s="21">
        <v>30000.0</v>
      </c>
      <c r="D80" s="21">
        <v>3000.0</v>
      </c>
      <c r="E80" s="26">
        <v>3000.0</v>
      </c>
      <c r="F80" s="21">
        <v>3000.0</v>
      </c>
      <c r="G80" s="21">
        <v>3000.0</v>
      </c>
      <c r="H80" s="21">
        <v>30000.0</v>
      </c>
      <c r="I80" s="21">
        <v>30000.0</v>
      </c>
      <c r="J80" s="21">
        <v>30000.0</v>
      </c>
      <c r="K80" s="21">
        <v>50000.0</v>
      </c>
      <c r="L80" s="21">
        <v>40000.0</v>
      </c>
      <c r="M80" s="21">
        <v>100000.0</v>
      </c>
      <c r="N80" s="21">
        <v>100000.0</v>
      </c>
      <c r="O80" s="21">
        <v>100000.0</v>
      </c>
      <c r="P80" s="21">
        <v>100000.0</v>
      </c>
      <c r="Q80" s="21">
        <v>100000.0</v>
      </c>
      <c r="R80" s="8"/>
      <c r="S80" s="8"/>
      <c r="T80" s="8"/>
      <c r="U80" s="8"/>
      <c r="V80" s="8"/>
      <c r="W80" s="8"/>
      <c r="X80" s="8"/>
      <c r="Y80" s="8"/>
      <c r="Z80" s="8"/>
    </row>
    <row r="81">
      <c r="A81" s="11" t="s">
        <v>406</v>
      </c>
      <c r="B81" s="20" t="s">
        <v>186</v>
      </c>
      <c r="C81" s="20" t="s">
        <v>186</v>
      </c>
      <c r="D81" s="20" t="s">
        <v>168</v>
      </c>
      <c r="E81" s="16" t="s">
        <v>168</v>
      </c>
      <c r="F81" s="20" t="s">
        <v>168</v>
      </c>
      <c r="G81" s="16" t="s">
        <v>186</v>
      </c>
      <c r="H81" s="16" t="s">
        <v>186</v>
      </c>
      <c r="I81" s="16" t="s">
        <v>186</v>
      </c>
      <c r="J81" s="16" t="s">
        <v>186</v>
      </c>
      <c r="K81" s="16" t="s">
        <v>186</v>
      </c>
      <c r="L81" s="16" t="s">
        <v>186</v>
      </c>
      <c r="M81" s="16" t="s">
        <v>186</v>
      </c>
      <c r="N81" s="16" t="s">
        <v>186</v>
      </c>
      <c r="O81" s="16" t="s">
        <v>186</v>
      </c>
      <c r="P81" s="16" t="s">
        <v>186</v>
      </c>
      <c r="Q81" s="16" t="s">
        <v>186</v>
      </c>
      <c r="R81" s="8"/>
      <c r="S81" s="8"/>
      <c r="T81" s="8"/>
      <c r="U81" s="8"/>
      <c r="V81" s="8"/>
      <c r="W81" s="8"/>
      <c r="X81" s="8"/>
      <c r="Y81" s="8"/>
      <c r="Z81" s="8"/>
    </row>
    <row r="82">
      <c r="A82" s="11" t="s">
        <v>407</v>
      </c>
      <c r="B82" s="20" t="s">
        <v>186</v>
      </c>
      <c r="C82" s="20" t="s">
        <v>186</v>
      </c>
      <c r="D82" s="20" t="s">
        <v>168</v>
      </c>
      <c r="E82" s="16" t="s">
        <v>168</v>
      </c>
      <c r="F82" s="20" t="s">
        <v>168</v>
      </c>
      <c r="G82" s="16" t="s">
        <v>168</v>
      </c>
      <c r="H82" s="16" t="s">
        <v>168</v>
      </c>
      <c r="I82" s="16" t="s">
        <v>168</v>
      </c>
      <c r="J82" s="16" t="s">
        <v>168</v>
      </c>
      <c r="K82" s="16" t="s">
        <v>186</v>
      </c>
      <c r="L82" s="16" t="s">
        <v>168</v>
      </c>
      <c r="M82" s="16" t="s">
        <v>168</v>
      </c>
      <c r="N82" s="16" t="s">
        <v>168</v>
      </c>
      <c r="O82" s="16" t="s">
        <v>168</v>
      </c>
      <c r="P82" s="16" t="s">
        <v>168</v>
      </c>
      <c r="Q82" s="16" t="s">
        <v>168</v>
      </c>
      <c r="R82" s="8"/>
      <c r="S82" s="8"/>
      <c r="T82" s="8"/>
      <c r="U82" s="8"/>
      <c r="V82" s="8"/>
      <c r="W82" s="8"/>
      <c r="X82" s="8"/>
      <c r="Y82" s="8"/>
      <c r="Z82" s="8"/>
    </row>
    <row r="83">
      <c r="A83" s="11" t="s">
        <v>408</v>
      </c>
      <c r="B83" s="16" t="s">
        <v>409</v>
      </c>
      <c r="C83" s="16" t="s">
        <v>409</v>
      </c>
      <c r="D83" s="16" t="s">
        <v>409</v>
      </c>
      <c r="E83" s="20" t="s">
        <v>410</v>
      </c>
      <c r="F83" s="20" t="s">
        <v>411</v>
      </c>
      <c r="G83" s="16" t="s">
        <v>409</v>
      </c>
      <c r="H83" s="16" t="s">
        <v>409</v>
      </c>
      <c r="I83" s="16" t="s">
        <v>409</v>
      </c>
      <c r="J83" s="16" t="s">
        <v>409</v>
      </c>
      <c r="K83" s="16" t="s">
        <v>409</v>
      </c>
      <c r="L83" s="14"/>
      <c r="M83" s="16" t="s">
        <v>409</v>
      </c>
      <c r="N83" s="20" t="s">
        <v>412</v>
      </c>
      <c r="O83" s="16" t="s">
        <v>409</v>
      </c>
      <c r="P83" s="16" t="s">
        <v>409</v>
      </c>
      <c r="Q83" s="16" t="s">
        <v>409</v>
      </c>
      <c r="R83" s="8"/>
      <c r="S83" s="8"/>
      <c r="T83" s="8"/>
      <c r="U83" s="8"/>
      <c r="V83" s="8"/>
      <c r="W83" s="8"/>
      <c r="X83" s="8"/>
      <c r="Y83" s="8"/>
      <c r="Z83" s="8"/>
    </row>
    <row r="84">
      <c r="A84" s="11" t="s">
        <v>413</v>
      </c>
      <c r="B84" s="20" t="s">
        <v>414</v>
      </c>
      <c r="C84" s="20" t="s">
        <v>414</v>
      </c>
      <c r="D84" s="20" t="s">
        <v>414</v>
      </c>
      <c r="E84" s="20" t="s">
        <v>415</v>
      </c>
      <c r="F84" s="20" t="s">
        <v>416</v>
      </c>
      <c r="G84" s="16" t="s">
        <v>414</v>
      </c>
      <c r="H84" s="16" t="s">
        <v>414</v>
      </c>
      <c r="I84" s="16" t="s">
        <v>414</v>
      </c>
      <c r="J84" s="16" t="s">
        <v>414</v>
      </c>
      <c r="K84" s="16" t="s">
        <v>414</v>
      </c>
      <c r="L84" s="16" t="s">
        <v>414</v>
      </c>
      <c r="M84" s="16" t="s">
        <v>414</v>
      </c>
      <c r="N84" s="16" t="s">
        <v>414</v>
      </c>
      <c r="O84" s="16" t="s">
        <v>414</v>
      </c>
      <c r="P84" s="16" t="s">
        <v>414</v>
      </c>
      <c r="Q84" s="16" t="s">
        <v>414</v>
      </c>
      <c r="R84" s="8"/>
      <c r="S84" s="8"/>
      <c r="T84" s="8"/>
      <c r="U84" s="8"/>
      <c r="V84" s="8"/>
      <c r="W84" s="8"/>
      <c r="X84" s="8"/>
      <c r="Y84" s="8"/>
      <c r="Z84" s="8"/>
    </row>
    <row r="85">
      <c r="A85" s="11" t="s">
        <v>417</v>
      </c>
      <c r="B85" s="20" t="s">
        <v>418</v>
      </c>
      <c r="C85" s="20" t="s">
        <v>418</v>
      </c>
      <c r="D85" s="20" t="s">
        <v>418</v>
      </c>
      <c r="E85" s="20" t="s">
        <v>419</v>
      </c>
      <c r="F85" s="20" t="s">
        <v>420</v>
      </c>
      <c r="G85" s="16" t="s">
        <v>418</v>
      </c>
      <c r="H85" s="16" t="s">
        <v>418</v>
      </c>
      <c r="I85" s="16" t="s">
        <v>418</v>
      </c>
      <c r="J85" s="16" t="s">
        <v>418</v>
      </c>
      <c r="K85" s="16" t="s">
        <v>418</v>
      </c>
      <c r="L85" s="16" t="s">
        <v>418</v>
      </c>
      <c r="M85" s="16" t="s">
        <v>418</v>
      </c>
      <c r="N85" s="16" t="s">
        <v>418</v>
      </c>
      <c r="O85" s="16" t="s">
        <v>418</v>
      </c>
      <c r="P85" s="16" t="s">
        <v>418</v>
      </c>
      <c r="Q85" s="16" t="s">
        <v>418</v>
      </c>
      <c r="R85" s="8"/>
      <c r="S85" s="8"/>
      <c r="T85" s="8"/>
      <c r="U85" s="8"/>
      <c r="V85" s="8"/>
      <c r="W85" s="8"/>
      <c r="X85" s="8"/>
      <c r="Y85" s="8"/>
      <c r="Z85" s="8"/>
    </row>
    <row r="86">
      <c r="A86" s="11" t="s">
        <v>421</v>
      </c>
      <c r="B86" s="20" t="s">
        <v>422</v>
      </c>
      <c r="C86" s="20" t="s">
        <v>423</v>
      </c>
      <c r="D86" s="20" t="s">
        <v>422</v>
      </c>
      <c r="E86" s="20" t="s">
        <v>424</v>
      </c>
      <c r="F86" s="20" t="s">
        <v>422</v>
      </c>
      <c r="G86" s="16" t="s">
        <v>422</v>
      </c>
      <c r="H86" s="20" t="s">
        <v>425</v>
      </c>
      <c r="I86" s="20" t="s">
        <v>425</v>
      </c>
      <c r="J86" s="20" t="s">
        <v>425</v>
      </c>
      <c r="K86" s="20" t="s">
        <v>426</v>
      </c>
      <c r="L86" s="20" t="s">
        <v>426</v>
      </c>
      <c r="M86" s="20" t="s">
        <v>426</v>
      </c>
      <c r="N86" s="20" t="s">
        <v>427</v>
      </c>
      <c r="O86" s="20" t="s">
        <v>427</v>
      </c>
      <c r="P86" s="20" t="s">
        <v>428</v>
      </c>
      <c r="Q86" s="20" t="s">
        <v>428</v>
      </c>
      <c r="R86" s="8"/>
      <c r="S86" s="8"/>
      <c r="T86" s="8"/>
      <c r="U86" s="8"/>
      <c r="V86" s="8"/>
      <c r="W86" s="8"/>
      <c r="X86" s="8"/>
      <c r="Y86" s="8"/>
      <c r="Z86" s="8"/>
    </row>
    <row r="87">
      <c r="A87" s="11" t="s">
        <v>429</v>
      </c>
      <c r="B87" s="20" t="s">
        <v>430</v>
      </c>
      <c r="C87" s="20" t="s">
        <v>430</v>
      </c>
      <c r="D87" s="20" t="s">
        <v>430</v>
      </c>
      <c r="E87" s="20" t="s">
        <v>430</v>
      </c>
      <c r="F87" s="20" t="s">
        <v>430</v>
      </c>
      <c r="G87" s="20" t="s">
        <v>430</v>
      </c>
      <c r="H87" s="20" t="s">
        <v>430</v>
      </c>
      <c r="I87" s="20" t="s">
        <v>430</v>
      </c>
      <c r="J87" s="20" t="s">
        <v>430</v>
      </c>
      <c r="K87" s="20" t="s">
        <v>430</v>
      </c>
      <c r="L87" s="20" t="s">
        <v>430</v>
      </c>
      <c r="M87" s="20" t="s">
        <v>430</v>
      </c>
      <c r="N87" s="16" t="s">
        <v>430</v>
      </c>
      <c r="O87" s="16" t="s">
        <v>430</v>
      </c>
      <c r="P87" s="16" t="s">
        <v>430</v>
      </c>
      <c r="Q87" s="16" t="s">
        <v>430</v>
      </c>
      <c r="R87" s="8"/>
      <c r="S87" s="8"/>
      <c r="T87" s="8"/>
      <c r="U87" s="8"/>
      <c r="V87" s="8"/>
      <c r="W87" s="8"/>
      <c r="X87" s="8"/>
      <c r="Y87" s="8"/>
      <c r="Z87" s="8"/>
    </row>
    <row r="88">
      <c r="A88" s="11" t="s">
        <v>431</v>
      </c>
      <c r="B88" s="20" t="s">
        <v>432</v>
      </c>
      <c r="C88" s="20" t="s">
        <v>168</v>
      </c>
      <c r="D88" s="20" t="s">
        <v>168</v>
      </c>
      <c r="E88" s="20" t="s">
        <v>433</v>
      </c>
      <c r="F88" s="20" t="s">
        <v>168</v>
      </c>
      <c r="G88" s="16" t="s">
        <v>432</v>
      </c>
      <c r="H88" s="16" t="s">
        <v>432</v>
      </c>
      <c r="I88" s="16" t="s">
        <v>168</v>
      </c>
      <c r="J88" s="16" t="s">
        <v>168</v>
      </c>
      <c r="K88" s="20" t="s">
        <v>168</v>
      </c>
      <c r="L88" s="20" t="s">
        <v>168</v>
      </c>
      <c r="M88" s="20" t="s">
        <v>168</v>
      </c>
      <c r="N88" s="16" t="s">
        <v>432</v>
      </c>
      <c r="O88" s="16" t="s">
        <v>432</v>
      </c>
      <c r="P88" s="16" t="s">
        <v>432</v>
      </c>
      <c r="Q88" s="16" t="s">
        <v>432</v>
      </c>
      <c r="R88" s="8"/>
      <c r="S88" s="8"/>
      <c r="T88" s="8"/>
      <c r="U88" s="8"/>
      <c r="V88" s="8"/>
      <c r="W88" s="8"/>
      <c r="X88" s="8"/>
      <c r="Y88" s="8"/>
      <c r="Z88" s="8"/>
    </row>
    <row r="89">
      <c r="A89" s="11" t="s">
        <v>434</v>
      </c>
      <c r="B89" s="20" t="s">
        <v>414</v>
      </c>
      <c r="C89" s="20" t="s">
        <v>168</v>
      </c>
      <c r="D89" s="20" t="s">
        <v>168</v>
      </c>
      <c r="E89" s="20" t="s">
        <v>415</v>
      </c>
      <c r="F89" s="20" t="s">
        <v>168</v>
      </c>
      <c r="G89" s="16" t="s">
        <v>414</v>
      </c>
      <c r="H89" s="16" t="s">
        <v>414</v>
      </c>
      <c r="I89" s="16" t="s">
        <v>168</v>
      </c>
      <c r="J89" s="16" t="s">
        <v>168</v>
      </c>
      <c r="K89" s="20" t="s">
        <v>168</v>
      </c>
      <c r="L89" s="20" t="s">
        <v>168</v>
      </c>
      <c r="M89" s="20" t="s">
        <v>168</v>
      </c>
      <c r="N89" s="16" t="s">
        <v>414</v>
      </c>
      <c r="O89" s="16" t="s">
        <v>414</v>
      </c>
      <c r="P89" s="16" t="s">
        <v>414</v>
      </c>
      <c r="Q89" s="16" t="s">
        <v>414</v>
      </c>
      <c r="R89" s="8"/>
      <c r="S89" s="8"/>
      <c r="T89" s="8"/>
      <c r="U89" s="8"/>
      <c r="V89" s="8"/>
      <c r="W89" s="8"/>
      <c r="X89" s="8"/>
      <c r="Y89" s="8"/>
      <c r="Z89" s="8"/>
    </row>
    <row r="90">
      <c r="A90" s="11" t="s">
        <v>435</v>
      </c>
      <c r="B90" s="20" t="s">
        <v>436</v>
      </c>
      <c r="C90" s="20" t="s">
        <v>168</v>
      </c>
      <c r="D90" s="20" t="s">
        <v>168</v>
      </c>
      <c r="E90" s="20" t="s">
        <v>437</v>
      </c>
      <c r="F90" s="20" t="s">
        <v>168</v>
      </c>
      <c r="G90" s="16" t="s">
        <v>436</v>
      </c>
      <c r="H90" s="16" t="s">
        <v>436</v>
      </c>
      <c r="I90" s="16" t="s">
        <v>168</v>
      </c>
      <c r="J90" s="16" t="s">
        <v>168</v>
      </c>
      <c r="K90" s="20" t="s">
        <v>168</v>
      </c>
      <c r="L90" s="20" t="s">
        <v>168</v>
      </c>
      <c r="M90" s="20" t="s">
        <v>168</v>
      </c>
      <c r="N90" s="16" t="s">
        <v>438</v>
      </c>
      <c r="O90" s="16" t="s">
        <v>438</v>
      </c>
      <c r="P90" s="16" t="s">
        <v>438</v>
      </c>
      <c r="Q90" s="16" t="s">
        <v>438</v>
      </c>
      <c r="R90" s="8"/>
      <c r="S90" s="8"/>
      <c r="T90" s="8"/>
      <c r="U90" s="8"/>
      <c r="V90" s="8"/>
      <c r="W90" s="8"/>
      <c r="X90" s="8"/>
      <c r="Y90" s="8"/>
      <c r="Z90" s="8"/>
    </row>
    <row r="91">
      <c r="A91" s="11" t="s">
        <v>439</v>
      </c>
      <c r="B91" s="16" t="s">
        <v>440</v>
      </c>
      <c r="C91" s="16" t="s">
        <v>440</v>
      </c>
      <c r="D91" s="16" t="s">
        <v>440</v>
      </c>
      <c r="E91" s="20" t="s">
        <v>168</v>
      </c>
      <c r="F91" s="20" t="s">
        <v>168</v>
      </c>
      <c r="G91" s="16" t="s">
        <v>441</v>
      </c>
      <c r="H91" s="16" t="s">
        <v>441</v>
      </c>
      <c r="I91" s="16" t="s">
        <v>441</v>
      </c>
      <c r="J91" s="16" t="s">
        <v>441</v>
      </c>
      <c r="K91" s="16" t="s">
        <v>441</v>
      </c>
      <c r="L91" s="20" t="s">
        <v>168</v>
      </c>
      <c r="M91" s="20" t="s">
        <v>168</v>
      </c>
      <c r="N91" s="16" t="s">
        <v>168</v>
      </c>
      <c r="O91" s="16" t="s">
        <v>168</v>
      </c>
      <c r="P91" s="16" t="s">
        <v>168</v>
      </c>
      <c r="Q91" s="16" t="s">
        <v>168</v>
      </c>
      <c r="R91" s="8"/>
      <c r="S91" s="8"/>
      <c r="T91" s="8"/>
      <c r="U91" s="8"/>
      <c r="V91" s="8"/>
      <c r="W91" s="8"/>
      <c r="X91" s="8"/>
      <c r="Y91" s="8"/>
      <c r="Z91" s="8"/>
    </row>
    <row r="92">
      <c r="A92" s="11" t="s">
        <v>442</v>
      </c>
      <c r="B92" s="20" t="s">
        <v>443</v>
      </c>
      <c r="C92" s="20" t="s">
        <v>443</v>
      </c>
      <c r="D92" s="20" t="s">
        <v>443</v>
      </c>
      <c r="E92" s="20" t="s">
        <v>168</v>
      </c>
      <c r="F92" s="20" t="s">
        <v>168</v>
      </c>
      <c r="G92" s="16" t="s">
        <v>443</v>
      </c>
      <c r="H92" s="16" t="s">
        <v>443</v>
      </c>
      <c r="I92" s="16" t="s">
        <v>443</v>
      </c>
      <c r="J92" s="16" t="s">
        <v>443</v>
      </c>
      <c r="K92" s="16" t="s">
        <v>443</v>
      </c>
      <c r="L92" s="20" t="s">
        <v>168</v>
      </c>
      <c r="M92" s="20" t="s">
        <v>168</v>
      </c>
      <c r="N92" s="16" t="s">
        <v>168</v>
      </c>
      <c r="O92" s="16" t="s">
        <v>168</v>
      </c>
      <c r="P92" s="16" t="s">
        <v>168</v>
      </c>
      <c r="Q92" s="16" t="s">
        <v>168</v>
      </c>
      <c r="R92" s="8"/>
      <c r="S92" s="8"/>
      <c r="T92" s="8"/>
      <c r="U92" s="8"/>
      <c r="V92" s="8"/>
      <c r="W92" s="8"/>
      <c r="X92" s="8"/>
      <c r="Y92" s="8"/>
      <c r="Z92" s="8"/>
    </row>
    <row r="93">
      <c r="A93" s="11" t="s">
        <v>444</v>
      </c>
      <c r="B93" s="20" t="s">
        <v>445</v>
      </c>
      <c r="C93" s="20" t="s">
        <v>445</v>
      </c>
      <c r="D93" s="20" t="s">
        <v>445</v>
      </c>
      <c r="E93" s="20" t="s">
        <v>168</v>
      </c>
      <c r="F93" s="20" t="s">
        <v>168</v>
      </c>
      <c r="G93" s="16" t="s">
        <v>445</v>
      </c>
      <c r="H93" s="16" t="s">
        <v>445</v>
      </c>
      <c r="I93" s="16" t="s">
        <v>445</v>
      </c>
      <c r="J93" s="16" t="s">
        <v>445</v>
      </c>
      <c r="K93" s="16" t="s">
        <v>445</v>
      </c>
      <c r="L93" s="20" t="s">
        <v>168</v>
      </c>
      <c r="M93" s="20" t="s">
        <v>168</v>
      </c>
      <c r="N93" s="16" t="s">
        <v>168</v>
      </c>
      <c r="O93" s="16" t="s">
        <v>168</v>
      </c>
      <c r="P93" s="16" t="s">
        <v>168</v>
      </c>
      <c r="Q93" s="16" t="s">
        <v>168</v>
      </c>
      <c r="R93" s="8"/>
      <c r="S93" s="8"/>
      <c r="T93" s="8"/>
      <c r="U93" s="8"/>
      <c r="V93" s="8"/>
      <c r="W93" s="8"/>
      <c r="X93" s="8"/>
      <c r="Y93" s="8"/>
      <c r="Z93" s="8"/>
    </row>
    <row r="94">
      <c r="A94" s="11" t="s">
        <v>446</v>
      </c>
      <c r="B94" s="20" t="s">
        <v>447</v>
      </c>
      <c r="C94" s="20" t="s">
        <v>447</v>
      </c>
      <c r="D94" s="20" t="s">
        <v>447</v>
      </c>
      <c r="E94" s="20" t="s">
        <v>168</v>
      </c>
      <c r="F94" s="20" t="s">
        <v>168</v>
      </c>
      <c r="G94" s="16" t="s">
        <v>447</v>
      </c>
      <c r="H94" s="16" t="s">
        <v>447</v>
      </c>
      <c r="I94" s="16" t="s">
        <v>447</v>
      </c>
      <c r="J94" s="16" t="s">
        <v>447</v>
      </c>
      <c r="K94" s="16" t="s">
        <v>447</v>
      </c>
      <c r="L94" s="20" t="s">
        <v>168</v>
      </c>
      <c r="M94" s="20" t="s">
        <v>168</v>
      </c>
      <c r="N94" s="16" t="s">
        <v>168</v>
      </c>
      <c r="O94" s="16" t="s">
        <v>168</v>
      </c>
      <c r="P94" s="16" t="s">
        <v>168</v>
      </c>
      <c r="Q94" s="16" t="s">
        <v>168</v>
      </c>
      <c r="R94" s="8"/>
      <c r="S94" s="8"/>
      <c r="T94" s="8"/>
      <c r="U94" s="8"/>
      <c r="V94" s="8"/>
      <c r="W94" s="8"/>
      <c r="X94" s="8"/>
      <c r="Y94" s="8"/>
      <c r="Z94" s="8"/>
    </row>
    <row r="95">
      <c r="A95" s="6" t="s">
        <v>448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 t="s">
        <v>449</v>
      </c>
      <c r="B96" s="20" t="s">
        <v>186</v>
      </c>
      <c r="C96" s="20" t="s">
        <v>186</v>
      </c>
      <c r="D96" s="20" t="s">
        <v>186</v>
      </c>
      <c r="E96" s="20" t="s">
        <v>186</v>
      </c>
      <c r="F96" s="20" t="s">
        <v>186</v>
      </c>
      <c r="G96" s="20" t="s">
        <v>186</v>
      </c>
      <c r="H96" s="20" t="s">
        <v>186</v>
      </c>
      <c r="I96" s="20" t="s">
        <v>186</v>
      </c>
      <c r="J96" s="20" t="s">
        <v>186</v>
      </c>
      <c r="K96" s="20" t="s">
        <v>186</v>
      </c>
      <c r="L96" s="20" t="s">
        <v>186</v>
      </c>
      <c r="M96" s="20" t="s">
        <v>186</v>
      </c>
      <c r="N96" s="20" t="s">
        <v>186</v>
      </c>
      <c r="O96" s="20" t="s">
        <v>186</v>
      </c>
      <c r="P96" s="20" t="s">
        <v>186</v>
      </c>
      <c r="Q96" s="20" t="s">
        <v>186</v>
      </c>
      <c r="R96" s="8"/>
      <c r="S96" s="8"/>
      <c r="T96" s="8"/>
      <c r="U96" s="8"/>
      <c r="V96" s="8"/>
      <c r="W96" s="8"/>
      <c r="X96" s="8"/>
      <c r="Y96" s="8"/>
      <c r="Z96" s="8"/>
    </row>
    <row r="97">
      <c r="A97" s="11" t="s">
        <v>450</v>
      </c>
      <c r="B97" s="20" t="s">
        <v>451</v>
      </c>
      <c r="C97" s="20" t="s">
        <v>451</v>
      </c>
      <c r="D97" s="20" t="s">
        <v>451</v>
      </c>
      <c r="E97" s="20" t="s">
        <v>451</v>
      </c>
      <c r="F97" s="20" t="s">
        <v>451</v>
      </c>
      <c r="G97" s="20" t="s">
        <v>451</v>
      </c>
      <c r="H97" s="20" t="s">
        <v>452</v>
      </c>
      <c r="I97" s="20" t="s">
        <v>452</v>
      </c>
      <c r="J97" s="20" t="s">
        <v>452</v>
      </c>
      <c r="K97" s="20" t="s">
        <v>451</v>
      </c>
      <c r="L97" s="20" t="s">
        <v>451</v>
      </c>
      <c r="M97" s="20" t="s">
        <v>451</v>
      </c>
      <c r="N97" s="20" t="s">
        <v>451</v>
      </c>
      <c r="O97" s="20" t="s">
        <v>451</v>
      </c>
      <c r="P97" s="20" t="s">
        <v>451</v>
      </c>
      <c r="Q97" s="20" t="s">
        <v>451</v>
      </c>
      <c r="R97" s="8"/>
      <c r="S97" s="8"/>
      <c r="T97" s="8"/>
      <c r="U97" s="8"/>
      <c r="V97" s="8"/>
      <c r="W97" s="8"/>
      <c r="X97" s="8"/>
      <c r="Y97" s="8"/>
      <c r="Z97" s="8"/>
    </row>
    <row r="98">
      <c r="A98" s="11" t="s">
        <v>453</v>
      </c>
      <c r="B98" s="20" t="s">
        <v>454</v>
      </c>
      <c r="C98" s="20" t="s">
        <v>455</v>
      </c>
      <c r="D98" s="20" t="s">
        <v>455</v>
      </c>
      <c r="E98" s="20" t="s">
        <v>456</v>
      </c>
      <c r="F98" s="20" t="s">
        <v>456</v>
      </c>
      <c r="G98" s="20" t="s">
        <v>457</v>
      </c>
      <c r="H98" s="20" t="s">
        <v>458</v>
      </c>
      <c r="I98" s="20" t="s">
        <v>459</v>
      </c>
      <c r="J98" s="20" t="s">
        <v>459</v>
      </c>
      <c r="K98" s="20" t="s">
        <v>455</v>
      </c>
      <c r="L98" s="20" t="s">
        <v>456</v>
      </c>
      <c r="M98" s="20" t="s">
        <v>460</v>
      </c>
      <c r="N98" s="20" t="s">
        <v>461</v>
      </c>
      <c r="O98" s="20" t="s">
        <v>461</v>
      </c>
      <c r="P98" s="20" t="s">
        <v>461</v>
      </c>
      <c r="Q98" s="20" t="s">
        <v>462</v>
      </c>
      <c r="R98" s="8"/>
      <c r="S98" s="8"/>
      <c r="T98" s="8"/>
      <c r="U98" s="8"/>
      <c r="V98" s="8"/>
      <c r="W98" s="8"/>
      <c r="X98" s="8"/>
      <c r="Y98" s="8"/>
      <c r="Z98" s="8"/>
    </row>
    <row r="99">
      <c r="A99" s="11" t="s">
        <v>463</v>
      </c>
      <c r="B99" s="20" t="s">
        <v>464</v>
      </c>
      <c r="C99" s="20" t="s">
        <v>464</v>
      </c>
      <c r="D99" s="20" t="s">
        <v>464</v>
      </c>
      <c r="E99" s="20" t="s">
        <v>464</v>
      </c>
      <c r="F99" s="20" t="s">
        <v>464</v>
      </c>
      <c r="G99" s="20" t="s">
        <v>464</v>
      </c>
      <c r="H99" s="20" t="s">
        <v>464</v>
      </c>
      <c r="I99" s="20" t="s">
        <v>464</v>
      </c>
      <c r="J99" s="20" t="s">
        <v>464</v>
      </c>
      <c r="K99" s="20" t="s">
        <v>464</v>
      </c>
      <c r="L99" s="20" t="s">
        <v>464</v>
      </c>
      <c r="M99" s="20" t="s">
        <v>464</v>
      </c>
      <c r="N99" s="20" t="s">
        <v>464</v>
      </c>
      <c r="O99" s="20" t="s">
        <v>464</v>
      </c>
      <c r="P99" s="20" t="s">
        <v>464</v>
      </c>
      <c r="Q99" s="20" t="s">
        <v>464</v>
      </c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 t="s">
        <v>465</v>
      </c>
      <c r="B100" s="20" t="s">
        <v>466</v>
      </c>
      <c r="C100" s="20" t="s">
        <v>466</v>
      </c>
      <c r="D100" s="20" t="s">
        <v>466</v>
      </c>
      <c r="E100" s="20" t="s">
        <v>466</v>
      </c>
      <c r="F100" s="20" t="s">
        <v>168</v>
      </c>
      <c r="G100" s="20" t="s">
        <v>466</v>
      </c>
      <c r="H100" s="20" t="s">
        <v>466</v>
      </c>
      <c r="I100" s="20" t="s">
        <v>466</v>
      </c>
      <c r="J100" s="20" t="s">
        <v>466</v>
      </c>
      <c r="K100" s="20" t="s">
        <v>466</v>
      </c>
      <c r="L100" s="20" t="s">
        <v>466</v>
      </c>
      <c r="M100" s="20" t="s">
        <v>466</v>
      </c>
      <c r="N100" s="20" t="s">
        <v>466</v>
      </c>
      <c r="O100" s="20" t="s">
        <v>466</v>
      </c>
      <c r="P100" s="20" t="s">
        <v>466</v>
      </c>
      <c r="Q100" s="20" t="s">
        <v>191</v>
      </c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 t="s">
        <v>467</v>
      </c>
      <c r="B101" s="20" t="s">
        <v>186</v>
      </c>
      <c r="C101" s="20" t="s">
        <v>186</v>
      </c>
      <c r="D101" s="20" t="s">
        <v>186</v>
      </c>
      <c r="E101" s="20" t="s">
        <v>186</v>
      </c>
      <c r="F101" s="20" t="s">
        <v>186</v>
      </c>
      <c r="G101" s="20" t="s">
        <v>186</v>
      </c>
      <c r="H101" s="20" t="s">
        <v>186</v>
      </c>
      <c r="I101" s="20" t="s">
        <v>186</v>
      </c>
      <c r="J101" s="20" t="s">
        <v>186</v>
      </c>
      <c r="K101" s="20" t="s">
        <v>186</v>
      </c>
      <c r="L101" s="20" t="s">
        <v>186</v>
      </c>
      <c r="M101" s="20" t="s">
        <v>186</v>
      </c>
      <c r="N101" s="20" t="s">
        <v>186</v>
      </c>
      <c r="O101" s="20" t="s">
        <v>186</v>
      </c>
      <c r="P101" s="20" t="s">
        <v>186</v>
      </c>
      <c r="Q101" s="20" t="s">
        <v>186</v>
      </c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1" t="s">
        <v>468</v>
      </c>
      <c r="B102" s="20" t="s">
        <v>186</v>
      </c>
      <c r="C102" s="20" t="s">
        <v>186</v>
      </c>
      <c r="D102" s="20" t="s">
        <v>186</v>
      </c>
      <c r="E102" s="16" t="s">
        <v>168</v>
      </c>
      <c r="F102" s="16" t="s">
        <v>186</v>
      </c>
      <c r="G102" s="16" t="s">
        <v>168</v>
      </c>
      <c r="H102" s="20" t="s">
        <v>186</v>
      </c>
      <c r="I102" s="20" t="s">
        <v>186</v>
      </c>
      <c r="J102" s="20" t="s">
        <v>186</v>
      </c>
      <c r="K102" s="20" t="s">
        <v>186</v>
      </c>
      <c r="L102" s="20" t="s">
        <v>186</v>
      </c>
      <c r="M102" s="20" t="s">
        <v>186</v>
      </c>
      <c r="N102" s="20" t="s">
        <v>191</v>
      </c>
      <c r="O102" s="20" t="s">
        <v>191</v>
      </c>
      <c r="P102" s="20" t="s">
        <v>191</v>
      </c>
      <c r="Q102" s="20" t="s">
        <v>191</v>
      </c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1" t="s">
        <v>469</v>
      </c>
      <c r="B103" s="20" t="s">
        <v>186</v>
      </c>
      <c r="C103" s="20" t="s">
        <v>186</v>
      </c>
      <c r="D103" s="20" t="s">
        <v>186</v>
      </c>
      <c r="E103" s="20" t="s">
        <v>186</v>
      </c>
      <c r="F103" s="20" t="s">
        <v>186</v>
      </c>
      <c r="G103" s="20" t="s">
        <v>186</v>
      </c>
      <c r="H103" s="20" t="s">
        <v>186</v>
      </c>
      <c r="I103" s="20" t="s">
        <v>186</v>
      </c>
      <c r="J103" s="20" t="s">
        <v>186</v>
      </c>
      <c r="K103" s="20" t="s">
        <v>186</v>
      </c>
      <c r="L103" s="20" t="s">
        <v>186</v>
      </c>
      <c r="M103" s="20" t="s">
        <v>186</v>
      </c>
      <c r="N103" s="20" t="s">
        <v>186</v>
      </c>
      <c r="O103" s="20" t="s">
        <v>186</v>
      </c>
      <c r="P103" s="20" t="s">
        <v>186</v>
      </c>
      <c r="Q103" s="20" t="s">
        <v>186</v>
      </c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 t="s">
        <v>470</v>
      </c>
      <c r="B104" s="20" t="s">
        <v>186</v>
      </c>
      <c r="C104" s="20" t="s">
        <v>186</v>
      </c>
      <c r="D104" s="20" t="s">
        <v>186</v>
      </c>
      <c r="E104" s="20" t="s">
        <v>186</v>
      </c>
      <c r="F104" s="20" t="s">
        <v>186</v>
      </c>
      <c r="G104" s="20" t="s">
        <v>186</v>
      </c>
      <c r="H104" s="20" t="s">
        <v>186</v>
      </c>
      <c r="I104" s="20" t="s">
        <v>186</v>
      </c>
      <c r="J104" s="20" t="s">
        <v>186</v>
      </c>
      <c r="K104" s="20" t="s">
        <v>186</v>
      </c>
      <c r="L104" s="20" t="s">
        <v>186</v>
      </c>
      <c r="M104" s="20" t="s">
        <v>186</v>
      </c>
      <c r="N104" s="20" t="s">
        <v>186</v>
      </c>
      <c r="O104" s="20" t="s">
        <v>186</v>
      </c>
      <c r="P104" s="20" t="s">
        <v>186</v>
      </c>
      <c r="Q104" s="20" t="s">
        <v>186</v>
      </c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1" t="s">
        <v>471</v>
      </c>
      <c r="B105" s="16" t="s">
        <v>186</v>
      </c>
      <c r="C105" s="16" t="s">
        <v>186</v>
      </c>
      <c r="D105" s="16" t="s">
        <v>186</v>
      </c>
      <c r="E105" s="20" t="s">
        <v>186</v>
      </c>
      <c r="F105" s="20" t="s">
        <v>186</v>
      </c>
      <c r="G105" s="20" t="s">
        <v>186</v>
      </c>
      <c r="H105" s="20" t="s">
        <v>186</v>
      </c>
      <c r="I105" s="20" t="s">
        <v>186</v>
      </c>
      <c r="J105" s="20" t="s">
        <v>186</v>
      </c>
      <c r="K105" s="20" t="s">
        <v>186</v>
      </c>
      <c r="L105" s="20" t="s">
        <v>186</v>
      </c>
      <c r="M105" s="20" t="s">
        <v>186</v>
      </c>
      <c r="N105" s="20" t="s">
        <v>186</v>
      </c>
      <c r="O105" s="20" t="s">
        <v>186</v>
      </c>
      <c r="P105" s="20" t="s">
        <v>186</v>
      </c>
      <c r="Q105" s="20" t="s">
        <v>186</v>
      </c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1" t="s">
        <v>472</v>
      </c>
      <c r="B106" s="16" t="s">
        <v>473</v>
      </c>
      <c r="C106" s="16" t="s">
        <v>474</v>
      </c>
      <c r="D106" s="16" t="s">
        <v>474</v>
      </c>
      <c r="E106" s="20" t="s">
        <v>186</v>
      </c>
      <c r="F106" s="16" t="s">
        <v>474</v>
      </c>
      <c r="G106" s="20" t="s">
        <v>473</v>
      </c>
      <c r="H106" s="20" t="s">
        <v>475</v>
      </c>
      <c r="I106" s="20" t="s">
        <v>475</v>
      </c>
      <c r="J106" s="20" t="s">
        <v>475</v>
      </c>
      <c r="K106" s="20" t="s">
        <v>476</v>
      </c>
      <c r="L106" s="20" t="s">
        <v>474</v>
      </c>
      <c r="M106" s="20" t="s">
        <v>474</v>
      </c>
      <c r="N106" s="20" t="s">
        <v>473</v>
      </c>
      <c r="O106" s="20" t="s">
        <v>473</v>
      </c>
      <c r="P106" s="20" t="s">
        <v>473</v>
      </c>
      <c r="Q106" s="20" t="s">
        <v>473</v>
      </c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 t="s">
        <v>477</v>
      </c>
      <c r="B107" s="20" t="s">
        <v>478</v>
      </c>
      <c r="C107" s="20" t="s">
        <v>478</v>
      </c>
      <c r="D107" s="20" t="s">
        <v>478</v>
      </c>
      <c r="E107" s="20" t="s">
        <v>478</v>
      </c>
      <c r="F107" s="20" t="s">
        <v>479</v>
      </c>
      <c r="G107" s="20" t="s">
        <v>478</v>
      </c>
      <c r="H107" s="20" t="s">
        <v>478</v>
      </c>
      <c r="I107" s="20" t="s">
        <v>478</v>
      </c>
      <c r="J107" s="20" t="s">
        <v>478</v>
      </c>
      <c r="K107" s="20" t="s">
        <v>478</v>
      </c>
      <c r="L107" s="20" t="s">
        <v>478</v>
      </c>
      <c r="M107" s="20" t="s">
        <v>478</v>
      </c>
      <c r="N107" s="20" t="s">
        <v>478</v>
      </c>
      <c r="O107" s="20" t="s">
        <v>478</v>
      </c>
      <c r="P107" s="20" t="s">
        <v>478</v>
      </c>
      <c r="Q107" s="20" t="s">
        <v>478</v>
      </c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 t="s">
        <v>480</v>
      </c>
      <c r="B108" s="20" t="s">
        <v>186</v>
      </c>
      <c r="C108" s="20" t="s">
        <v>186</v>
      </c>
      <c r="D108" s="20" t="s">
        <v>186</v>
      </c>
      <c r="E108" s="20" t="s">
        <v>186</v>
      </c>
      <c r="F108" s="20" t="s">
        <v>168</v>
      </c>
      <c r="G108" s="20" t="s">
        <v>186</v>
      </c>
      <c r="H108" s="20" t="s">
        <v>186</v>
      </c>
      <c r="I108" s="20" t="s">
        <v>186</v>
      </c>
      <c r="J108" s="20" t="s">
        <v>186</v>
      </c>
      <c r="K108" s="20" t="s">
        <v>186</v>
      </c>
      <c r="L108" s="20" t="s">
        <v>186</v>
      </c>
      <c r="M108" s="20" t="s">
        <v>186</v>
      </c>
      <c r="N108" s="20" t="s">
        <v>186</v>
      </c>
      <c r="O108" s="20" t="s">
        <v>186</v>
      </c>
      <c r="P108" s="20" t="s">
        <v>186</v>
      </c>
      <c r="Q108" s="20" t="s">
        <v>191</v>
      </c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1" t="s">
        <v>481</v>
      </c>
      <c r="B109" s="20" t="s">
        <v>186</v>
      </c>
      <c r="C109" s="20" t="s">
        <v>186</v>
      </c>
      <c r="D109" s="20" t="s">
        <v>186</v>
      </c>
      <c r="E109" s="20" t="s">
        <v>186</v>
      </c>
      <c r="F109" s="20" t="s">
        <v>168</v>
      </c>
      <c r="G109" s="20" t="s">
        <v>186</v>
      </c>
      <c r="H109" s="20" t="s">
        <v>186</v>
      </c>
      <c r="I109" s="20" t="s">
        <v>186</v>
      </c>
      <c r="J109" s="20" t="s">
        <v>186</v>
      </c>
      <c r="K109" s="20" t="s">
        <v>186</v>
      </c>
      <c r="L109" s="20" t="s">
        <v>186</v>
      </c>
      <c r="M109" s="20" t="s">
        <v>186</v>
      </c>
      <c r="N109" s="20" t="s">
        <v>191</v>
      </c>
      <c r="O109" s="20" t="s">
        <v>191</v>
      </c>
      <c r="P109" s="20" t="s">
        <v>191</v>
      </c>
      <c r="Q109" s="20" t="s">
        <v>191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 t="s">
        <v>451</v>
      </c>
      <c r="B110" s="20" t="s">
        <v>186</v>
      </c>
      <c r="C110" s="20" t="s">
        <v>186</v>
      </c>
      <c r="D110" s="20" t="s">
        <v>186</v>
      </c>
      <c r="E110" s="20" t="s">
        <v>186</v>
      </c>
      <c r="F110" s="20" t="s">
        <v>186</v>
      </c>
      <c r="G110" s="20" t="s">
        <v>186</v>
      </c>
      <c r="H110" s="20" t="s">
        <v>186</v>
      </c>
      <c r="I110" s="20" t="s">
        <v>186</v>
      </c>
      <c r="J110" s="20" t="s">
        <v>186</v>
      </c>
      <c r="K110" s="20" t="s">
        <v>186</v>
      </c>
      <c r="L110" s="20" t="s">
        <v>186</v>
      </c>
      <c r="M110" s="20" t="s">
        <v>186</v>
      </c>
      <c r="N110" s="20" t="s">
        <v>186</v>
      </c>
      <c r="O110" s="20" t="s">
        <v>186</v>
      </c>
      <c r="P110" s="20" t="s">
        <v>186</v>
      </c>
      <c r="Q110" s="20" t="s">
        <v>186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 t="s">
        <v>482</v>
      </c>
      <c r="B111" s="20" t="s">
        <v>186</v>
      </c>
      <c r="C111" s="20" t="s">
        <v>186</v>
      </c>
      <c r="D111" s="20" t="s">
        <v>186</v>
      </c>
      <c r="E111" s="20" t="s">
        <v>186</v>
      </c>
      <c r="F111" s="20" t="s">
        <v>186</v>
      </c>
      <c r="G111" s="20" t="s">
        <v>186</v>
      </c>
      <c r="H111" s="20" t="s">
        <v>186</v>
      </c>
      <c r="I111" s="20" t="s">
        <v>186</v>
      </c>
      <c r="J111" s="20" t="s">
        <v>186</v>
      </c>
      <c r="K111" s="20" t="s">
        <v>186</v>
      </c>
      <c r="L111" s="20" t="s">
        <v>186</v>
      </c>
      <c r="M111" s="20" t="s">
        <v>186</v>
      </c>
      <c r="N111" s="20" t="s">
        <v>186</v>
      </c>
      <c r="O111" s="20" t="s">
        <v>186</v>
      </c>
      <c r="P111" s="20" t="s">
        <v>186</v>
      </c>
      <c r="Q111" s="20" t="s">
        <v>186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 t="s">
        <v>483</v>
      </c>
      <c r="B112" s="20" t="s">
        <v>186</v>
      </c>
      <c r="C112" s="20" t="s">
        <v>186</v>
      </c>
      <c r="D112" s="20" t="s">
        <v>186</v>
      </c>
      <c r="E112" s="20" t="s">
        <v>186</v>
      </c>
      <c r="F112" s="20" t="s">
        <v>186</v>
      </c>
      <c r="G112" s="20" t="s">
        <v>186</v>
      </c>
      <c r="H112" s="20" t="s">
        <v>186</v>
      </c>
      <c r="I112" s="20" t="s">
        <v>186</v>
      </c>
      <c r="J112" s="20" t="s">
        <v>186</v>
      </c>
      <c r="K112" s="20" t="s">
        <v>186</v>
      </c>
      <c r="L112" s="20" t="s">
        <v>186</v>
      </c>
      <c r="M112" s="20" t="s">
        <v>186</v>
      </c>
      <c r="N112" s="20" t="s">
        <v>186</v>
      </c>
      <c r="O112" s="20" t="s">
        <v>186</v>
      </c>
      <c r="P112" s="20" t="s">
        <v>186</v>
      </c>
      <c r="Q112" s="20" t="s">
        <v>186</v>
      </c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 t="s">
        <v>484</v>
      </c>
      <c r="B113" s="20" t="s">
        <v>485</v>
      </c>
      <c r="C113" s="20" t="s">
        <v>485</v>
      </c>
      <c r="D113" s="20" t="s">
        <v>486</v>
      </c>
      <c r="E113" s="16" t="s">
        <v>487</v>
      </c>
      <c r="F113" s="16" t="s">
        <v>487</v>
      </c>
      <c r="G113" s="16" t="s">
        <v>486</v>
      </c>
      <c r="H113" s="16" t="s">
        <v>486</v>
      </c>
      <c r="I113" s="16" t="s">
        <v>486</v>
      </c>
      <c r="J113" s="16" t="s">
        <v>486</v>
      </c>
      <c r="K113" s="16" t="s">
        <v>486</v>
      </c>
      <c r="L113" s="16" t="s">
        <v>486</v>
      </c>
      <c r="M113" s="16" t="s">
        <v>486</v>
      </c>
      <c r="N113" s="20" t="s">
        <v>488</v>
      </c>
      <c r="O113" s="20" t="s">
        <v>488</v>
      </c>
      <c r="P113" s="20" t="s">
        <v>488</v>
      </c>
      <c r="Q113" s="20" t="s">
        <v>488</v>
      </c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" t="s">
        <v>489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 t="s">
        <v>490</v>
      </c>
      <c r="B115" s="20">
        <v>1.0</v>
      </c>
      <c r="C115" s="20">
        <v>1.0</v>
      </c>
      <c r="D115" s="20">
        <v>1.0</v>
      </c>
      <c r="E115" s="20">
        <v>1.0</v>
      </c>
      <c r="F115" s="20" t="s">
        <v>168</v>
      </c>
      <c r="G115" s="20">
        <v>1.0</v>
      </c>
      <c r="H115" s="20">
        <v>1.0</v>
      </c>
      <c r="I115" s="20">
        <v>1.0</v>
      </c>
      <c r="J115" s="20">
        <v>1.0</v>
      </c>
      <c r="K115" s="20">
        <v>1.0</v>
      </c>
      <c r="L115" s="20">
        <v>1.0</v>
      </c>
      <c r="M115" s="20">
        <v>1.0</v>
      </c>
      <c r="N115" s="20">
        <v>1.0</v>
      </c>
      <c r="O115" s="20">
        <v>1.0</v>
      </c>
      <c r="P115" s="20">
        <v>1.0</v>
      </c>
      <c r="Q115" s="20" t="s">
        <v>168</v>
      </c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 t="s">
        <v>491</v>
      </c>
      <c r="B116" s="20">
        <v>2.0</v>
      </c>
      <c r="C116" s="20">
        <v>1.0</v>
      </c>
      <c r="D116" s="20" t="s">
        <v>168</v>
      </c>
      <c r="E116" s="20" t="s">
        <v>168</v>
      </c>
      <c r="F116" s="20" t="s">
        <v>168</v>
      </c>
      <c r="G116" s="20">
        <v>2.0</v>
      </c>
      <c r="H116" s="20" t="s">
        <v>168</v>
      </c>
      <c r="I116" s="20" t="s">
        <v>168</v>
      </c>
      <c r="J116" s="20" t="s">
        <v>168</v>
      </c>
      <c r="K116" s="20">
        <v>1.0</v>
      </c>
      <c r="L116" s="20">
        <v>1.0</v>
      </c>
      <c r="M116" s="20">
        <v>1.0</v>
      </c>
      <c r="N116" s="20" t="s">
        <v>168</v>
      </c>
      <c r="O116" s="20" t="s">
        <v>168</v>
      </c>
      <c r="P116" s="20" t="s">
        <v>168</v>
      </c>
      <c r="Q116" s="20" t="s">
        <v>168</v>
      </c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 t="s">
        <v>492</v>
      </c>
      <c r="B117" s="20">
        <v>1.0</v>
      </c>
      <c r="C117" s="20">
        <v>3.0</v>
      </c>
      <c r="D117" s="20">
        <v>1.0</v>
      </c>
      <c r="E117" s="20">
        <v>1.0</v>
      </c>
      <c r="F117" s="20" t="s">
        <v>168</v>
      </c>
      <c r="G117" s="20">
        <v>2.0</v>
      </c>
      <c r="H117" s="20">
        <v>1.0</v>
      </c>
      <c r="I117" s="20">
        <v>1.0</v>
      </c>
      <c r="J117" s="20">
        <v>1.0</v>
      </c>
      <c r="K117" s="20">
        <v>3.0</v>
      </c>
      <c r="L117" s="20">
        <v>3.0</v>
      </c>
      <c r="M117" s="20">
        <v>3.0</v>
      </c>
      <c r="N117" s="20">
        <v>1.0</v>
      </c>
      <c r="O117" s="20">
        <v>1.0</v>
      </c>
      <c r="P117" s="20">
        <v>1.0</v>
      </c>
      <c r="Q117" s="20" t="s">
        <v>168</v>
      </c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 t="s">
        <v>493</v>
      </c>
      <c r="B118" s="20" t="s">
        <v>168</v>
      </c>
      <c r="C118" s="20" t="s">
        <v>168</v>
      </c>
      <c r="D118" s="20">
        <v>1.0</v>
      </c>
      <c r="E118" s="20">
        <v>1.0</v>
      </c>
      <c r="F118" s="20">
        <v>1.0</v>
      </c>
      <c r="G118" s="20" t="s">
        <v>168</v>
      </c>
      <c r="H118" s="20">
        <v>1.0</v>
      </c>
      <c r="I118" s="20">
        <v>1.0</v>
      </c>
      <c r="J118" s="20">
        <v>1.0</v>
      </c>
      <c r="K118" s="20" t="s">
        <v>168</v>
      </c>
      <c r="L118" s="20" t="s">
        <v>168</v>
      </c>
      <c r="M118" s="20" t="s">
        <v>168</v>
      </c>
      <c r="N118" s="20" t="s">
        <v>168</v>
      </c>
      <c r="O118" s="20" t="s">
        <v>168</v>
      </c>
      <c r="P118" s="20" t="s">
        <v>168</v>
      </c>
      <c r="Q118" s="20" t="s">
        <v>168</v>
      </c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 t="s">
        <v>494</v>
      </c>
      <c r="B119" s="20" t="s">
        <v>495</v>
      </c>
      <c r="C119" s="20" t="s">
        <v>495</v>
      </c>
      <c r="D119" s="20" t="s">
        <v>495</v>
      </c>
      <c r="E119" s="20" t="s">
        <v>495</v>
      </c>
      <c r="F119" s="20" t="s">
        <v>168</v>
      </c>
      <c r="G119" s="20" t="s">
        <v>495</v>
      </c>
      <c r="H119" s="20" t="s">
        <v>495</v>
      </c>
      <c r="I119" s="20" t="s">
        <v>495</v>
      </c>
      <c r="J119" s="20" t="s">
        <v>495</v>
      </c>
      <c r="K119" s="20" t="s">
        <v>495</v>
      </c>
      <c r="L119" s="20" t="s">
        <v>495</v>
      </c>
      <c r="M119" s="20" t="s">
        <v>495</v>
      </c>
      <c r="N119" s="20" t="s">
        <v>496</v>
      </c>
      <c r="O119" s="20" t="s">
        <v>496</v>
      </c>
      <c r="P119" s="20" t="s">
        <v>496</v>
      </c>
      <c r="Q119" s="20" t="s">
        <v>168</v>
      </c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 t="s">
        <v>497</v>
      </c>
      <c r="B120" s="20" t="s">
        <v>168</v>
      </c>
      <c r="C120" s="20" t="s">
        <v>168</v>
      </c>
      <c r="D120" s="20">
        <v>1.0</v>
      </c>
      <c r="E120" s="20">
        <v>1.0</v>
      </c>
      <c r="F120" s="20" t="s">
        <v>168</v>
      </c>
      <c r="G120" s="20">
        <v>1.0</v>
      </c>
      <c r="H120" s="20" t="s">
        <v>168</v>
      </c>
      <c r="I120" s="20" t="s">
        <v>168</v>
      </c>
      <c r="J120" s="20" t="s">
        <v>168</v>
      </c>
      <c r="K120" s="20" t="s">
        <v>168</v>
      </c>
      <c r="L120" s="20" t="s">
        <v>168</v>
      </c>
      <c r="M120" s="20" t="s">
        <v>168</v>
      </c>
      <c r="N120" s="20">
        <v>1.0</v>
      </c>
      <c r="O120" s="20">
        <v>1.0</v>
      </c>
      <c r="P120" s="20">
        <v>1.0</v>
      </c>
      <c r="Q120" s="20">
        <v>1.0</v>
      </c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 t="s">
        <v>374</v>
      </c>
      <c r="B121" s="20">
        <v>1.0</v>
      </c>
      <c r="C121" s="20">
        <v>1.0</v>
      </c>
      <c r="D121" s="20">
        <v>1.0</v>
      </c>
      <c r="E121" s="20">
        <v>1.0</v>
      </c>
      <c r="F121" s="20">
        <v>1.0</v>
      </c>
      <c r="G121" s="20">
        <v>1.0</v>
      </c>
      <c r="H121" s="20">
        <v>1.0</v>
      </c>
      <c r="I121" s="20">
        <v>1.0</v>
      </c>
      <c r="J121" s="20">
        <v>1.0</v>
      </c>
      <c r="K121" s="20">
        <v>1.0</v>
      </c>
      <c r="L121" s="20">
        <v>1.0</v>
      </c>
      <c r="M121" s="20">
        <v>1.0</v>
      </c>
      <c r="N121" s="20">
        <v>1.0</v>
      </c>
      <c r="O121" s="20">
        <v>1.0</v>
      </c>
      <c r="P121" s="20">
        <v>1.0</v>
      </c>
      <c r="Q121" s="20">
        <v>1.0</v>
      </c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 t="s">
        <v>480</v>
      </c>
      <c r="B122" s="20">
        <v>1.0</v>
      </c>
      <c r="C122" s="20">
        <v>1.0</v>
      </c>
      <c r="D122" s="20">
        <v>1.0</v>
      </c>
      <c r="E122" s="20">
        <v>1.0</v>
      </c>
      <c r="F122" s="20" t="s">
        <v>168</v>
      </c>
      <c r="G122" s="20">
        <v>1.0</v>
      </c>
      <c r="H122" s="20">
        <v>1.0</v>
      </c>
      <c r="I122" s="20">
        <v>1.0</v>
      </c>
      <c r="J122" s="20">
        <v>1.0</v>
      </c>
      <c r="K122" s="20">
        <v>1.0</v>
      </c>
      <c r="L122" s="20">
        <v>1.0</v>
      </c>
      <c r="M122" s="20">
        <v>1.0</v>
      </c>
      <c r="N122" s="20">
        <v>1.0</v>
      </c>
      <c r="O122" s="20">
        <v>1.0</v>
      </c>
      <c r="P122" s="20">
        <v>1.0</v>
      </c>
      <c r="Q122" s="20" t="s">
        <v>168</v>
      </c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 t="s">
        <v>498</v>
      </c>
      <c r="B123" s="20">
        <v>1.0</v>
      </c>
      <c r="C123" s="20">
        <v>1.0</v>
      </c>
      <c r="D123" s="20">
        <v>1.0</v>
      </c>
      <c r="E123" s="20">
        <v>1.0</v>
      </c>
      <c r="F123" s="20" t="s">
        <v>168</v>
      </c>
      <c r="G123" s="20">
        <v>1.0</v>
      </c>
      <c r="H123" s="20">
        <v>1.0</v>
      </c>
      <c r="I123" s="20">
        <v>1.0</v>
      </c>
      <c r="J123" s="20">
        <v>1.0</v>
      </c>
      <c r="K123" s="20">
        <v>1.0</v>
      </c>
      <c r="L123" s="20">
        <v>1.0</v>
      </c>
      <c r="M123" s="20">
        <v>1.0</v>
      </c>
      <c r="N123" s="20" t="s">
        <v>168</v>
      </c>
      <c r="O123" s="20" t="s">
        <v>168</v>
      </c>
      <c r="P123" s="20" t="s">
        <v>168</v>
      </c>
      <c r="Q123" s="20" t="s">
        <v>168</v>
      </c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 t="s">
        <v>499</v>
      </c>
      <c r="B124" s="20">
        <v>1.0</v>
      </c>
      <c r="C124" s="20">
        <v>1.0</v>
      </c>
      <c r="D124" s="20">
        <v>1.0</v>
      </c>
      <c r="E124" s="20">
        <v>1.0</v>
      </c>
      <c r="F124" s="20">
        <v>1.0</v>
      </c>
      <c r="G124" s="20">
        <v>1.0</v>
      </c>
      <c r="H124" s="20">
        <v>1.0</v>
      </c>
      <c r="I124" s="20">
        <v>1.0</v>
      </c>
      <c r="J124" s="20">
        <v>1.0</v>
      </c>
      <c r="K124" s="20">
        <v>1.0</v>
      </c>
      <c r="L124" s="20">
        <v>1.0</v>
      </c>
      <c r="M124" s="20">
        <v>1.0</v>
      </c>
      <c r="N124" s="20">
        <v>1.0</v>
      </c>
      <c r="O124" s="20">
        <v>1.0</v>
      </c>
      <c r="P124" s="20">
        <v>1.0</v>
      </c>
      <c r="Q124" s="20">
        <v>1.0</v>
      </c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 t="s">
        <v>500</v>
      </c>
      <c r="B125" s="20">
        <v>1.0</v>
      </c>
      <c r="C125" s="20">
        <v>1.0</v>
      </c>
      <c r="D125" s="20">
        <v>1.0</v>
      </c>
      <c r="E125" s="20">
        <v>1.0</v>
      </c>
      <c r="F125" s="20">
        <v>1.0</v>
      </c>
      <c r="G125" s="20">
        <v>1.0</v>
      </c>
      <c r="H125" s="20">
        <v>1.0</v>
      </c>
      <c r="I125" s="20">
        <v>1.0</v>
      </c>
      <c r="J125" s="20">
        <v>1.0</v>
      </c>
      <c r="K125" s="20">
        <v>1.0</v>
      </c>
      <c r="L125" s="20">
        <v>1.0</v>
      </c>
      <c r="M125" s="20">
        <v>1.0</v>
      </c>
      <c r="N125" s="20">
        <v>1.0</v>
      </c>
      <c r="O125" s="20">
        <v>1.0</v>
      </c>
      <c r="P125" s="20">
        <v>1.0</v>
      </c>
      <c r="Q125" s="20">
        <v>1.0</v>
      </c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 t="s">
        <v>501</v>
      </c>
      <c r="B126" s="20">
        <v>1.0</v>
      </c>
      <c r="C126" s="20">
        <v>1.0</v>
      </c>
      <c r="D126" s="20">
        <v>1.0</v>
      </c>
      <c r="E126" s="20">
        <v>1.0</v>
      </c>
      <c r="F126" s="20">
        <v>1.0</v>
      </c>
      <c r="G126" s="20">
        <v>1.0</v>
      </c>
      <c r="H126" s="20">
        <v>1.0</v>
      </c>
      <c r="I126" s="20">
        <v>1.0</v>
      </c>
      <c r="J126" s="20">
        <v>1.0</v>
      </c>
      <c r="K126" s="20">
        <v>1.0</v>
      </c>
      <c r="L126" s="20">
        <v>1.0</v>
      </c>
      <c r="M126" s="20">
        <v>1.0</v>
      </c>
      <c r="N126" s="20">
        <v>1.0</v>
      </c>
      <c r="O126" s="20">
        <v>1.0</v>
      </c>
      <c r="P126" s="20">
        <v>1.0</v>
      </c>
      <c r="Q126" s="20">
        <v>1.0</v>
      </c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" t="s">
        <v>502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 t="s">
        <v>503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 t="s">
        <v>504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 t="s">
        <v>505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 t="s">
        <v>506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 t="s">
        <v>507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 t="s">
        <v>508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 t="s">
        <v>509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 t="s">
        <v>510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 t="s">
        <v>511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 t="s">
        <v>512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" t="s">
        <v>513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 t="s">
        <v>514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 t="s">
        <v>515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 t="s">
        <v>516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 t="s">
        <v>517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 t="s">
        <v>518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 t="s">
        <v>519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8"/>
      <c r="S1004" s="8"/>
      <c r="T1004" s="8"/>
      <c r="U1004" s="8"/>
      <c r="V1004" s="8"/>
      <c r="W1004" s="8"/>
      <c r="X1004" s="8"/>
      <c r="Y1004" s="8"/>
      <c r="Z1004" s="8"/>
    </row>
  </sheetData>
  <hyperlinks>
    <hyperlink r:id="rId1" ref="B5"/>
    <hyperlink r:id="rId2" ref="C5"/>
    <hyperlink r:id="rId3" ref="D5"/>
    <hyperlink r:id="rId4" ref="E5"/>
    <hyperlink r:id="rId5" ref="F5"/>
    <hyperlink r:id="rId6" ref="G5"/>
    <hyperlink r:id="rId7" ref="H5"/>
    <hyperlink r:id="rId8" ref="I5"/>
    <hyperlink r:id="rId9" ref="J5"/>
    <hyperlink r:id="rId10" ref="K5"/>
    <hyperlink r:id="rId11" ref="L5"/>
    <hyperlink r:id="rId12" ref="M5"/>
    <hyperlink r:id="rId13" ref="N5"/>
    <hyperlink r:id="rId14" ref="O5"/>
    <hyperlink r:id="rId15" ref="P5"/>
    <hyperlink r:id="rId16" ref="Q5"/>
    <hyperlink r:id="rId17" ref="B6"/>
    <hyperlink r:id="rId18" ref="C6"/>
    <hyperlink r:id="rId19" ref="D6"/>
    <hyperlink r:id="rId20" ref="E6"/>
    <hyperlink r:id="rId21" ref="F6"/>
    <hyperlink r:id="rId22" ref="G6"/>
    <hyperlink r:id="rId23" ref="H6"/>
    <hyperlink r:id="rId24" ref="I6"/>
    <hyperlink r:id="rId25" ref="J6"/>
    <hyperlink r:id="rId26" ref="K6"/>
    <hyperlink r:id="rId27" ref="L6"/>
    <hyperlink r:id="rId28" ref="M6"/>
    <hyperlink r:id="rId29" ref="N6"/>
    <hyperlink r:id="rId30" ref="O6"/>
    <hyperlink r:id="rId31" ref="P6"/>
    <hyperlink r:id="rId32" ref="Q6"/>
    <hyperlink r:id="rId33" ref="B7"/>
    <hyperlink r:id="rId34" ref="C7"/>
    <hyperlink r:id="rId35" ref="D7"/>
    <hyperlink r:id="rId36" ref="E7"/>
    <hyperlink r:id="rId37" ref="F7"/>
    <hyperlink r:id="rId38" ref="G7"/>
    <hyperlink r:id="rId39" ref="H7"/>
    <hyperlink r:id="rId40" ref="I7"/>
    <hyperlink r:id="rId41" ref="J7"/>
    <hyperlink r:id="rId42" ref="K7"/>
    <hyperlink r:id="rId43" ref="M7"/>
    <hyperlink r:id="rId44" ref="N7"/>
    <hyperlink r:id="rId45" ref="O7"/>
    <hyperlink r:id="rId46" ref="P7"/>
    <hyperlink r:id="rId47" ref="Q7"/>
    <hyperlink r:id="rId48" ref="B8"/>
    <hyperlink r:id="rId49" ref="C8"/>
    <hyperlink r:id="rId50" ref="D8"/>
    <hyperlink r:id="rId51" ref="E8"/>
    <hyperlink r:id="rId52" ref="F8"/>
    <hyperlink r:id="rId53" ref="G8"/>
    <hyperlink r:id="rId54" ref="H8"/>
    <hyperlink r:id="rId55" ref="I8"/>
    <hyperlink r:id="rId56" ref="J8"/>
    <hyperlink r:id="rId57" ref="K8"/>
    <hyperlink r:id="rId58" ref="M8"/>
    <hyperlink r:id="rId59" ref="N8"/>
    <hyperlink r:id="rId60" ref="O8"/>
    <hyperlink r:id="rId61" ref="P8"/>
    <hyperlink r:id="rId62" ref="Q8"/>
    <hyperlink r:id="rId63" ref="B9"/>
    <hyperlink r:id="rId64" ref="C9"/>
    <hyperlink r:id="rId65" ref="G9"/>
    <hyperlink r:id="rId66" ref="I9"/>
    <hyperlink r:id="rId67" ref="K9"/>
    <hyperlink r:id="rId68" ref="L9"/>
    <hyperlink r:id="rId69" ref="M9"/>
    <hyperlink r:id="rId70" ref="N9"/>
    <hyperlink r:id="rId71" ref="O9"/>
    <hyperlink r:id="rId72" ref="P9"/>
    <hyperlink r:id="rId73" ref="Q9"/>
    <hyperlink r:id="rId74" ref="B10"/>
    <hyperlink r:id="rId75" ref="C10"/>
    <hyperlink r:id="rId76" ref="D10"/>
    <hyperlink r:id="rId77" ref="F10"/>
    <hyperlink r:id="rId78" ref="G10"/>
    <hyperlink r:id="rId79" ref="I10"/>
    <hyperlink r:id="rId80" ref="L10"/>
    <hyperlink r:id="rId81" ref="M10"/>
    <hyperlink r:id="rId82" ref="N10"/>
    <hyperlink r:id="rId83" ref="O10"/>
    <hyperlink r:id="rId84" ref="P10"/>
    <hyperlink r:id="rId85" ref="Q10"/>
    <hyperlink r:id="rId86" ref="B11"/>
    <hyperlink r:id="rId87" ref="D11"/>
    <hyperlink r:id="rId88" ref="F11"/>
    <hyperlink r:id="rId89" ref="L11"/>
    <hyperlink r:id="rId90" ref="B12"/>
    <hyperlink r:id="rId91" ref="C12"/>
    <hyperlink r:id="rId92" ref="D12"/>
    <hyperlink r:id="rId93" ref="F12"/>
    <hyperlink r:id="rId94" ref="G12"/>
    <hyperlink r:id="rId95" ref="I12"/>
    <hyperlink r:id="rId96" ref="K12"/>
    <hyperlink r:id="rId97" ref="L12"/>
    <hyperlink r:id="rId98" ref="M12"/>
    <hyperlink display="Z-ID" location="'Z-ID'!A1" ref="B61"/>
    <hyperlink display="Z-ID" location="'Z-ID'!A1" ref="E61"/>
    <hyperlink display="Z-ID" location="'Z-ID'!A1" ref="G61"/>
    <hyperlink display="Z-ID" location="'Z-ID'!A1" ref="H61"/>
    <hyperlink display="Z-ID" location="'Z-ID'!A1" ref="N61"/>
    <hyperlink display="Z-ID" location="'Z-ID'!A1" ref="O61"/>
    <hyperlink display="Z-ID" location="'Z-ID'!A1" ref="P61"/>
    <hyperlink display="Z-ID" location="'Z-ID'!A1" ref="Q61"/>
  </hyperlinks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28" t="s">
        <v>520</v>
      </c>
    </row>
    <row r="3">
      <c r="A3" s="29" t="str">
        <f>'Especificações faciais-H'!A17</f>
        <v>Capacidade de Usuários</v>
      </c>
    </row>
    <row r="4">
      <c r="A4" s="29" t="str">
        <f>'Especificações faciais-H'!A18</f>
        <v>Capacidade de Faces</v>
      </c>
    </row>
    <row r="5">
      <c r="A5" s="29" t="str">
        <f>'Especificações faciais-H'!A19</f>
        <v>Capacidade de Digitais</v>
      </c>
    </row>
    <row r="6">
      <c r="A6" s="29" t="str">
        <f>'Especificações faciais-H'!A20</f>
        <v>Capacidade de Palma</v>
      </c>
    </row>
    <row r="7">
      <c r="A7" s="29" t="str">
        <f>'Especificações faciais-H'!A21</f>
        <v>Capacidade de QR Code</v>
      </c>
    </row>
    <row r="8">
      <c r="A8" s="29" t="str">
        <f>'Especificações faciais-H'!A22</f>
        <v>Capacidade de Cartões RFID</v>
      </c>
    </row>
    <row r="9">
      <c r="A9" s="29" t="str">
        <f>'Especificações faciais-H'!A23</f>
        <v>Capacidade de Senhas</v>
      </c>
    </row>
    <row r="10">
      <c r="A10" s="29" t="str">
        <f>'Especificações faciais-H'!A24</f>
        <v>Quantidade de Administradores</v>
      </c>
    </row>
    <row r="11">
      <c r="A11" s="29" t="str">
        <f>'Especificações faciais-H'!A25</f>
        <v>Capacidade de Registros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5.38"/>
  </cols>
  <sheetData>
    <row r="1">
      <c r="A1" s="30" t="s">
        <v>521</v>
      </c>
      <c r="B1" s="31" t="s">
        <v>522</v>
      </c>
    </row>
    <row r="2">
      <c r="A2" s="32" t="s">
        <v>523</v>
      </c>
      <c r="B2" s="32" t="s">
        <v>524</v>
      </c>
    </row>
    <row r="3">
      <c r="A3" s="32" t="s">
        <v>283</v>
      </c>
      <c r="B3" s="32" t="s">
        <v>525</v>
      </c>
    </row>
    <row r="4">
      <c r="A4" s="32" t="s">
        <v>526</v>
      </c>
      <c r="B4" s="32" t="s">
        <v>527</v>
      </c>
    </row>
    <row r="5">
      <c r="A5" s="32" t="s">
        <v>528</v>
      </c>
      <c r="B5" s="32" t="s">
        <v>529</v>
      </c>
    </row>
    <row r="6">
      <c r="A6" s="32" t="s">
        <v>530</v>
      </c>
      <c r="B6" s="32" t="s">
        <v>531</v>
      </c>
    </row>
    <row r="7">
      <c r="A7" s="32" t="s">
        <v>532</v>
      </c>
      <c r="B7" s="32" t="s">
        <v>186</v>
      </c>
    </row>
    <row r="8">
      <c r="A8" s="32" t="s">
        <v>533</v>
      </c>
      <c r="B8" s="32" t="s">
        <v>186</v>
      </c>
    </row>
    <row r="9">
      <c r="A9" s="32" t="s">
        <v>534</v>
      </c>
      <c r="B9" s="32" t="s">
        <v>535</v>
      </c>
    </row>
    <row r="10">
      <c r="A10" s="32" t="s">
        <v>536</v>
      </c>
      <c r="B10" s="32" t="s">
        <v>537</v>
      </c>
    </row>
    <row r="11">
      <c r="A11" s="32" t="s">
        <v>538</v>
      </c>
      <c r="B11" s="32" t="s">
        <v>539</v>
      </c>
    </row>
    <row r="12">
      <c r="A12" s="32" t="s">
        <v>540</v>
      </c>
      <c r="B12" s="32" t="s">
        <v>541</v>
      </c>
    </row>
    <row r="13">
      <c r="A13" s="32" t="s">
        <v>542</v>
      </c>
      <c r="B13" s="32" t="s">
        <v>543</v>
      </c>
    </row>
    <row r="14">
      <c r="A14" s="32" t="s">
        <v>373</v>
      </c>
      <c r="B14" s="32" t="s">
        <v>544</v>
      </c>
    </row>
    <row r="15">
      <c r="A15" s="32" t="s">
        <v>545</v>
      </c>
      <c r="B15" s="32" t="s">
        <v>546</v>
      </c>
    </row>
    <row r="16">
      <c r="A16" s="32" t="s">
        <v>547</v>
      </c>
      <c r="B16" s="32" t="s">
        <v>548</v>
      </c>
    </row>
    <row r="17">
      <c r="A17" s="32" t="s">
        <v>549</v>
      </c>
      <c r="B17" s="32" t="s">
        <v>550</v>
      </c>
    </row>
    <row r="18">
      <c r="A18" s="32" t="s">
        <v>551</v>
      </c>
      <c r="B18" s="32" t="s">
        <v>552</v>
      </c>
    </row>
    <row r="19">
      <c r="A19" s="32" t="s">
        <v>553</v>
      </c>
      <c r="B19" s="32" t="s">
        <v>554</v>
      </c>
    </row>
    <row r="20">
      <c r="A20" s="32" t="s">
        <v>555</v>
      </c>
      <c r="B20" s="32" t="s">
        <v>556</v>
      </c>
    </row>
    <row r="21">
      <c r="A21" s="32" t="s">
        <v>557</v>
      </c>
      <c r="B21" s="32" t="s">
        <v>558</v>
      </c>
    </row>
    <row r="22">
      <c r="A22" s="32" t="s">
        <v>559</v>
      </c>
      <c r="B22" s="33">
        <v>256.0</v>
      </c>
    </row>
    <row r="23">
      <c r="A23" s="32" t="s">
        <v>560</v>
      </c>
      <c r="B23" s="32" t="s">
        <v>561</v>
      </c>
    </row>
    <row r="24">
      <c r="A24" s="32" t="s">
        <v>562</v>
      </c>
      <c r="B24" s="32" t="s">
        <v>563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3">
      <c r="B3" s="29"/>
    </row>
  </sheetData>
  <dataValidations>
    <dataValidation type="list" allowBlank="1" showDropDown="1" showErrorMessage="1" sqref="B3">
      <formula1>'Especificações faciais-H'!$B$2:$D$2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5"/>
    <col customWidth="1" min="2" max="2" width="21.13"/>
    <col customWidth="1" min="3" max="4" width="16.38"/>
    <col customWidth="1" min="5" max="5" width="16.75"/>
    <col customWidth="1" min="6" max="6" width="19.75"/>
    <col customWidth="1" min="7" max="7" width="15.88"/>
    <col customWidth="1" min="8" max="9" width="16.0"/>
    <col customWidth="1" min="10" max="10" width="17.63"/>
    <col customWidth="1" min="11" max="11" width="11.88"/>
    <col customWidth="1" min="12" max="13" width="45.63"/>
    <col customWidth="1" min="14" max="14" width="20.25"/>
    <col customWidth="1" min="15" max="15" width="21.13"/>
    <col customWidth="1" min="16" max="16" width="20.25"/>
    <col customWidth="1" min="17" max="17" width="16.88"/>
    <col customWidth="1" min="18" max="18" width="20.25"/>
    <col customWidth="1" min="19" max="19" width="21.88"/>
    <col customWidth="1" min="20" max="20" width="20.25"/>
    <col customWidth="1" min="21" max="21" width="24.75"/>
    <col customWidth="1" min="22" max="22" width="24.88"/>
    <col customWidth="1" min="23" max="23" width="12.63"/>
    <col customWidth="1" min="24" max="24" width="8.38"/>
    <col customWidth="1" min="25" max="25" width="16.13"/>
    <col customWidth="1" min="26" max="26" width="17.63"/>
    <col customWidth="1" min="27" max="27" width="26.88"/>
    <col customWidth="1" min="28" max="28" width="18.13"/>
    <col customWidth="1" min="29" max="29" width="7.5"/>
    <col customWidth="1" min="30" max="30" width="18.63"/>
    <col customWidth="1" min="31" max="31" width="23.13"/>
    <col customWidth="1" min="32" max="32" width="14.5"/>
    <col customWidth="1" min="33" max="33" width="20.38"/>
    <col customWidth="1" min="34" max="34" width="23.88"/>
    <col customWidth="1" min="35" max="35" width="36.13"/>
    <col customWidth="1" min="36" max="36" width="16.63"/>
    <col customWidth="1" min="37" max="37" width="12.63"/>
    <col customWidth="1" min="38" max="38" width="38.0"/>
    <col customWidth="1" min="39" max="39" width="27.38"/>
    <col customWidth="1" min="40" max="40" width="45.13"/>
    <col customWidth="1" min="41" max="41" width="9.13"/>
    <col customWidth="1" min="42" max="42" width="21.38"/>
    <col customWidth="1" min="43" max="43" width="15.38"/>
    <col customWidth="1" min="44" max="44" width="16.25"/>
    <col customWidth="1" min="45" max="45" width="11.88"/>
    <col customWidth="1" min="46" max="46" width="16.5"/>
    <col customWidth="1" min="47" max="47" width="11.25"/>
    <col customWidth="1" min="48" max="48" width="30.0"/>
    <col customWidth="1" min="49" max="49" width="14.0"/>
    <col customWidth="1" min="50" max="50" width="24.25"/>
    <col customWidth="1" min="51" max="51" width="34.88"/>
    <col customWidth="1" min="52" max="52" width="44.88"/>
    <col customWidth="1" min="53" max="53" width="45.5"/>
    <col customWidth="1" min="54" max="54" width="27.13"/>
    <col customWidth="1" min="55" max="55" width="21.5"/>
    <col customWidth="1" min="56" max="56" width="16.0"/>
    <col customWidth="1" min="57" max="57" width="17.5"/>
    <col customWidth="1" min="58" max="58" width="11.25"/>
    <col customWidth="1" min="59" max="59" width="23.63"/>
    <col customWidth="1" min="60" max="60" width="45.25"/>
    <col customWidth="1" min="61" max="61" width="26.5"/>
    <col customWidth="1" min="62" max="62" width="12.38"/>
    <col customWidth="1" min="63" max="63" width="15.25"/>
    <col customWidth="1" min="64" max="64" width="12.75"/>
    <col customWidth="1" min="65" max="65" width="30.13"/>
    <col customWidth="1" min="66" max="66" width="45.13"/>
    <col customWidth="1" min="67" max="67" width="12.25"/>
    <col customWidth="1" min="68" max="68" width="12.38"/>
    <col customWidth="1" min="69" max="69" width="24.13"/>
    <col customWidth="1" min="70" max="71" width="19.0"/>
    <col customWidth="1" min="72" max="72" width="19.38"/>
    <col customWidth="1" min="73" max="73" width="23.0"/>
    <col customWidth="1" min="74" max="74" width="26.88"/>
    <col customWidth="1" min="75" max="75" width="28.13"/>
    <col customWidth="1" min="76" max="76" width="27.25"/>
    <col customWidth="1" min="77" max="77" width="25.88"/>
    <col customWidth="1" min="78" max="78" width="27.38"/>
    <col customWidth="1" min="79" max="79" width="28.88"/>
    <col customWidth="1" min="80" max="80" width="27.88"/>
    <col customWidth="1" min="81" max="81" width="26.25"/>
    <col customWidth="1" min="82" max="82" width="29.88"/>
    <col customWidth="1" min="83" max="83" width="14.0"/>
    <col customWidth="1" min="84" max="84" width="16.63"/>
    <col customWidth="1" min="85" max="85" width="15.88"/>
    <col customWidth="1" min="86" max="86" width="17.63"/>
    <col customWidth="1" min="87" max="87" width="15.0"/>
    <col customWidth="1" min="88" max="88" width="33.75"/>
    <col customWidth="1" min="89" max="89" width="19.38"/>
    <col customWidth="1" min="90" max="90" width="20.5"/>
    <col customWidth="1" min="91" max="91" width="24.63"/>
    <col customWidth="1" min="92" max="92" width="11.0"/>
    <col customWidth="1" min="93" max="93" width="17.25"/>
    <col customWidth="1" min="94" max="94" width="14.38"/>
    <col customWidth="1" min="95" max="95" width="17.38"/>
    <col customWidth="1" min="96" max="96" width="20.88"/>
    <col customWidth="1" min="97" max="97" width="27.38"/>
    <col customWidth="1" min="98" max="98" width="14.88"/>
    <col customWidth="1" min="99" max="99" width="13.0"/>
    <col customWidth="1" min="100" max="100" width="6.63"/>
    <col customWidth="1" min="101" max="101" width="14.5"/>
    <col customWidth="1" min="102" max="102" width="23.63"/>
    <col customWidth="1" min="103" max="103" width="17.63"/>
    <col customWidth="1" min="104" max="105" width="6.13"/>
    <col customWidth="1" min="106" max="106" width="9.75"/>
    <col customWidth="1" min="107" max="107" width="13.63"/>
    <col customWidth="1" min="108" max="108" width="29.63"/>
    <col customWidth="1" min="109" max="109" width="4.0"/>
    <col customWidth="1" min="110" max="110" width="10.0"/>
    <col customWidth="1" min="111" max="111" width="14.88"/>
    <col customWidth="1" min="112" max="112" width="12.88"/>
    <col customWidth="1" min="113" max="113" width="12.0"/>
    <col customWidth="1" min="114" max="114" width="21.88"/>
    <col customWidth="1" min="115" max="115" width="18.88"/>
    <col customWidth="1" min="116" max="116" width="30.38"/>
    <col customWidth="1" min="117" max="117" width="5.25"/>
  </cols>
  <sheetData>
    <row r="1" ht="18.0" customHeight="1">
      <c r="A1" s="2">
        <v>1.0</v>
      </c>
      <c r="B1" s="34">
        <v>2.0</v>
      </c>
      <c r="C1" s="2">
        <v>3.0</v>
      </c>
      <c r="D1" s="34">
        <v>4.0</v>
      </c>
      <c r="E1" s="2">
        <v>5.0</v>
      </c>
      <c r="F1" s="34">
        <v>6.0</v>
      </c>
      <c r="G1" s="2">
        <v>7.0</v>
      </c>
      <c r="H1" s="34">
        <v>8.0</v>
      </c>
      <c r="I1" s="2">
        <v>9.0</v>
      </c>
      <c r="J1" s="34">
        <v>10.0</v>
      </c>
      <c r="K1" s="2">
        <v>11.0</v>
      </c>
      <c r="L1" s="34">
        <v>12.0</v>
      </c>
      <c r="M1" s="2">
        <v>13.0</v>
      </c>
      <c r="N1" s="34">
        <v>14.0</v>
      </c>
      <c r="O1" s="2">
        <v>15.0</v>
      </c>
      <c r="P1" s="34">
        <v>16.0</v>
      </c>
      <c r="Q1" s="2">
        <v>17.0</v>
      </c>
      <c r="R1" s="34">
        <v>18.0</v>
      </c>
      <c r="S1" s="2">
        <v>19.0</v>
      </c>
      <c r="T1" s="34">
        <v>20.0</v>
      </c>
      <c r="U1" s="2">
        <v>21.0</v>
      </c>
      <c r="V1" s="34">
        <v>22.0</v>
      </c>
      <c r="W1" s="2">
        <v>23.0</v>
      </c>
      <c r="X1" s="34">
        <v>24.0</v>
      </c>
      <c r="Y1" s="2">
        <v>25.0</v>
      </c>
      <c r="Z1" s="34">
        <v>26.0</v>
      </c>
      <c r="AA1" s="2">
        <v>27.0</v>
      </c>
      <c r="AB1" s="34">
        <v>28.0</v>
      </c>
      <c r="AC1" s="2">
        <v>29.0</v>
      </c>
      <c r="AD1" s="34">
        <v>30.0</v>
      </c>
      <c r="AE1" s="2">
        <v>31.0</v>
      </c>
      <c r="AF1" s="34">
        <v>32.0</v>
      </c>
      <c r="AG1" s="2">
        <v>33.0</v>
      </c>
      <c r="AH1" s="34">
        <v>34.0</v>
      </c>
      <c r="AI1" s="2">
        <v>35.0</v>
      </c>
      <c r="AJ1" s="34">
        <v>36.0</v>
      </c>
      <c r="AK1" s="2">
        <v>37.0</v>
      </c>
      <c r="AL1" s="34">
        <v>38.0</v>
      </c>
      <c r="AM1" s="2">
        <v>39.0</v>
      </c>
      <c r="AN1" s="34">
        <v>40.0</v>
      </c>
      <c r="AO1" s="2">
        <v>41.0</v>
      </c>
      <c r="AP1" s="34">
        <v>42.0</v>
      </c>
      <c r="AQ1" s="2">
        <v>43.0</v>
      </c>
      <c r="AR1" s="34">
        <v>44.0</v>
      </c>
      <c r="AS1" s="2">
        <v>45.0</v>
      </c>
      <c r="AT1" s="34">
        <v>46.0</v>
      </c>
      <c r="AU1" s="2">
        <v>47.0</v>
      </c>
      <c r="AV1" s="34">
        <v>48.0</v>
      </c>
      <c r="AW1" s="2">
        <v>49.0</v>
      </c>
      <c r="AX1" s="34">
        <v>50.0</v>
      </c>
      <c r="AY1" s="2">
        <v>51.0</v>
      </c>
      <c r="AZ1" s="34">
        <v>52.0</v>
      </c>
      <c r="BA1" s="2">
        <v>53.0</v>
      </c>
      <c r="BB1" s="34">
        <v>54.0</v>
      </c>
      <c r="BC1" s="2">
        <v>55.0</v>
      </c>
      <c r="BD1" s="34">
        <v>56.0</v>
      </c>
      <c r="BE1" s="2">
        <v>57.0</v>
      </c>
      <c r="BF1" s="34">
        <v>58.0</v>
      </c>
      <c r="BG1" s="2">
        <v>59.0</v>
      </c>
      <c r="BH1" s="34">
        <v>60.0</v>
      </c>
      <c r="BI1" s="2">
        <v>61.0</v>
      </c>
      <c r="BJ1" s="34">
        <v>62.0</v>
      </c>
      <c r="BK1" s="2">
        <v>63.0</v>
      </c>
      <c r="BL1" s="34">
        <v>64.0</v>
      </c>
      <c r="BM1" s="2">
        <v>65.0</v>
      </c>
      <c r="BN1" s="34">
        <v>66.0</v>
      </c>
      <c r="BO1" s="2">
        <v>67.0</v>
      </c>
      <c r="BP1" s="34">
        <v>68.0</v>
      </c>
      <c r="BQ1" s="2">
        <v>69.0</v>
      </c>
      <c r="BR1" s="34">
        <v>70.0</v>
      </c>
      <c r="BS1" s="2">
        <v>71.0</v>
      </c>
      <c r="BT1" s="34">
        <v>72.0</v>
      </c>
      <c r="BU1" s="2">
        <v>73.0</v>
      </c>
      <c r="BV1" s="34">
        <v>74.0</v>
      </c>
      <c r="BW1" s="2">
        <v>75.0</v>
      </c>
      <c r="BX1" s="34">
        <v>76.0</v>
      </c>
      <c r="BY1" s="2">
        <v>77.0</v>
      </c>
      <c r="BZ1" s="34">
        <v>78.0</v>
      </c>
      <c r="CA1" s="2">
        <v>79.0</v>
      </c>
      <c r="CB1" s="34">
        <v>80.0</v>
      </c>
      <c r="CC1" s="2">
        <v>81.0</v>
      </c>
      <c r="CD1" s="34">
        <v>82.0</v>
      </c>
      <c r="CE1" s="2">
        <v>83.0</v>
      </c>
      <c r="CF1" s="34">
        <v>84.0</v>
      </c>
      <c r="CG1" s="2">
        <v>85.0</v>
      </c>
      <c r="CH1" s="34">
        <v>86.0</v>
      </c>
      <c r="CI1" s="2">
        <v>87.0</v>
      </c>
      <c r="CJ1" s="34">
        <v>88.0</v>
      </c>
      <c r="CK1" s="2">
        <v>89.0</v>
      </c>
      <c r="CL1" s="34">
        <v>90.0</v>
      </c>
      <c r="CM1" s="2">
        <v>91.0</v>
      </c>
      <c r="CN1" s="34">
        <v>92.0</v>
      </c>
      <c r="CO1" s="2">
        <v>93.0</v>
      </c>
      <c r="CP1" s="34">
        <v>94.0</v>
      </c>
      <c r="CQ1" s="2">
        <v>95.0</v>
      </c>
      <c r="CR1" s="34">
        <v>96.0</v>
      </c>
      <c r="CS1" s="2">
        <v>97.0</v>
      </c>
      <c r="CT1" s="34">
        <v>98.0</v>
      </c>
      <c r="CU1" s="2">
        <v>99.0</v>
      </c>
      <c r="CV1" s="34">
        <v>100.0</v>
      </c>
      <c r="CW1" s="2">
        <v>101.0</v>
      </c>
      <c r="CX1" s="34">
        <v>102.0</v>
      </c>
      <c r="CY1" s="2">
        <v>103.0</v>
      </c>
      <c r="CZ1" s="34">
        <v>104.0</v>
      </c>
      <c r="DA1" s="2">
        <v>105.0</v>
      </c>
      <c r="DB1" s="34">
        <v>106.0</v>
      </c>
      <c r="DC1" s="2">
        <v>107.0</v>
      </c>
      <c r="DD1" s="34">
        <v>108.0</v>
      </c>
      <c r="DE1" s="2">
        <v>109.0</v>
      </c>
      <c r="DF1" s="34">
        <v>110.0</v>
      </c>
      <c r="DG1" s="2">
        <v>111.0</v>
      </c>
      <c r="DH1" s="34">
        <v>112.0</v>
      </c>
      <c r="DI1" s="2">
        <v>113.0</v>
      </c>
      <c r="DJ1" s="34">
        <v>114.0</v>
      </c>
      <c r="DK1" s="2">
        <v>115.0</v>
      </c>
      <c r="DL1" s="2">
        <v>116.0</v>
      </c>
      <c r="DM1" s="2">
        <v>117.0</v>
      </c>
    </row>
    <row r="2">
      <c r="A2" s="5" t="s">
        <v>1</v>
      </c>
      <c r="B2" s="35" t="s">
        <v>19</v>
      </c>
      <c r="C2" s="36" t="s">
        <v>25</v>
      </c>
      <c r="D2" s="36" t="s">
        <v>42</v>
      </c>
      <c r="E2" s="36" t="s">
        <v>59</v>
      </c>
      <c r="F2" s="36" t="s">
        <v>75</v>
      </c>
      <c r="G2" s="36" t="s">
        <v>91</v>
      </c>
      <c r="H2" s="36" t="s">
        <v>103</v>
      </c>
      <c r="I2" s="36" t="s">
        <v>116</v>
      </c>
      <c r="J2" s="36" t="s">
        <v>121</v>
      </c>
      <c r="K2" s="36" t="s">
        <v>131</v>
      </c>
      <c r="L2" s="36" t="s">
        <v>133</v>
      </c>
      <c r="M2" s="36" t="s">
        <v>148</v>
      </c>
      <c r="N2" s="36" t="s">
        <v>161</v>
      </c>
      <c r="O2" s="36" t="s">
        <v>165</v>
      </c>
      <c r="P2" s="36" t="s">
        <v>169</v>
      </c>
      <c r="Q2" s="36" t="s">
        <v>171</v>
      </c>
      <c r="R2" s="36" t="s">
        <v>174</v>
      </c>
      <c r="S2" s="36" t="s">
        <v>175</v>
      </c>
      <c r="T2" s="36" t="s">
        <v>177</v>
      </c>
      <c r="U2" s="36" t="s">
        <v>178</v>
      </c>
      <c r="V2" s="36" t="s">
        <v>179</v>
      </c>
      <c r="W2" s="36" t="s">
        <v>183</v>
      </c>
      <c r="X2" s="36" t="s">
        <v>184</v>
      </c>
      <c r="Y2" s="36" t="s">
        <v>185</v>
      </c>
      <c r="Z2" s="36" t="s">
        <v>187</v>
      </c>
      <c r="AA2" s="36" t="s">
        <v>189</v>
      </c>
      <c r="AB2" s="36" t="s">
        <v>192</v>
      </c>
      <c r="AC2" s="36" t="s">
        <v>194</v>
      </c>
      <c r="AD2" s="36" t="s">
        <v>197</v>
      </c>
      <c r="AE2" s="36" t="s">
        <v>200</v>
      </c>
      <c r="AF2" s="36" t="s">
        <v>213</v>
      </c>
      <c r="AG2" s="36" t="s">
        <v>216</v>
      </c>
      <c r="AH2" s="36" t="s">
        <v>225</v>
      </c>
      <c r="AI2" s="36" t="s">
        <v>230</v>
      </c>
      <c r="AJ2" s="36" t="s">
        <v>235</v>
      </c>
      <c r="AK2" s="36" t="s">
        <v>239</v>
      </c>
      <c r="AL2" s="36" t="s">
        <v>241</v>
      </c>
      <c r="AM2" s="36" t="s">
        <v>246</v>
      </c>
      <c r="AN2" s="36" t="s">
        <v>252</v>
      </c>
      <c r="AO2" s="36" t="s">
        <v>265</v>
      </c>
      <c r="AP2" s="35" t="s">
        <v>272</v>
      </c>
      <c r="AQ2" s="36" t="s">
        <v>283</v>
      </c>
      <c r="AR2" s="36" t="s">
        <v>289</v>
      </c>
      <c r="AS2" s="36" t="s">
        <v>291</v>
      </c>
      <c r="AT2" s="36" t="s">
        <v>295</v>
      </c>
      <c r="AU2" s="36" t="s">
        <v>298</v>
      </c>
      <c r="AV2" s="36" t="s">
        <v>309</v>
      </c>
      <c r="AW2" s="36" t="s">
        <v>317</v>
      </c>
      <c r="AX2" s="37" t="s">
        <v>328</v>
      </c>
      <c r="AY2" s="36" t="s">
        <v>333</v>
      </c>
      <c r="AZ2" s="36" t="s">
        <v>336</v>
      </c>
      <c r="BA2" s="36" t="s">
        <v>346</v>
      </c>
      <c r="BB2" s="36" t="s">
        <v>358</v>
      </c>
      <c r="BC2" s="36" t="s">
        <v>361</v>
      </c>
      <c r="BD2" s="36" t="s">
        <v>363</v>
      </c>
      <c r="BE2" s="36" t="s">
        <v>371</v>
      </c>
      <c r="BF2" s="36" t="s">
        <v>374</v>
      </c>
      <c r="BG2" s="36" t="s">
        <v>376</v>
      </c>
      <c r="BH2" s="35" t="s">
        <v>379</v>
      </c>
      <c r="BI2" s="35" t="s">
        <v>382</v>
      </c>
      <c r="BJ2" s="36" t="s">
        <v>385</v>
      </c>
      <c r="BK2" s="36" t="s">
        <v>387</v>
      </c>
      <c r="BL2" s="36" t="s">
        <v>388</v>
      </c>
      <c r="BM2" s="36" t="s">
        <v>390</v>
      </c>
      <c r="BN2" s="36" t="s">
        <v>393</v>
      </c>
      <c r="BO2" s="36" t="s">
        <v>396</v>
      </c>
      <c r="BP2" s="36" t="s">
        <v>397</v>
      </c>
      <c r="BQ2" s="36" t="s">
        <v>399</v>
      </c>
      <c r="BR2" s="36" t="s">
        <v>403</v>
      </c>
      <c r="BS2" s="36" t="s">
        <v>405</v>
      </c>
      <c r="BT2" s="36" t="s">
        <v>406</v>
      </c>
      <c r="BU2" s="36" t="s">
        <v>407</v>
      </c>
      <c r="BV2" s="36" t="s">
        <v>408</v>
      </c>
      <c r="BW2" s="36" t="s">
        <v>413</v>
      </c>
      <c r="BX2" s="36" t="s">
        <v>417</v>
      </c>
      <c r="BY2" s="36" t="s">
        <v>421</v>
      </c>
      <c r="BZ2" s="36" t="s">
        <v>429</v>
      </c>
      <c r="CA2" s="36" t="s">
        <v>431</v>
      </c>
      <c r="CB2" s="36" t="s">
        <v>434</v>
      </c>
      <c r="CC2" s="36" t="s">
        <v>435</v>
      </c>
      <c r="CD2" s="36" t="s">
        <v>439</v>
      </c>
      <c r="CE2" s="36" t="s">
        <v>442</v>
      </c>
      <c r="CF2" s="36" t="s">
        <v>444</v>
      </c>
      <c r="CG2" s="36" t="s">
        <v>446</v>
      </c>
      <c r="CH2" s="36" t="s">
        <v>564</v>
      </c>
      <c r="CI2" s="36" t="s">
        <v>450</v>
      </c>
      <c r="CJ2" s="36" t="s">
        <v>453</v>
      </c>
      <c r="CK2" s="36" t="s">
        <v>463</v>
      </c>
      <c r="CL2" s="36" t="s">
        <v>465</v>
      </c>
      <c r="CM2" s="36" t="s">
        <v>467</v>
      </c>
      <c r="CN2" s="36" t="s">
        <v>468</v>
      </c>
      <c r="CO2" s="36" t="s">
        <v>469</v>
      </c>
      <c r="CP2" s="36" t="s">
        <v>470</v>
      </c>
      <c r="CQ2" s="36" t="s">
        <v>471</v>
      </c>
      <c r="CR2" s="36" t="s">
        <v>472</v>
      </c>
      <c r="CS2" s="36" t="s">
        <v>477</v>
      </c>
      <c r="CT2" s="36" t="s">
        <v>480</v>
      </c>
      <c r="CU2" s="36" t="s">
        <v>481</v>
      </c>
      <c r="CV2" s="36" t="s">
        <v>451</v>
      </c>
      <c r="CW2" s="36" t="s">
        <v>482</v>
      </c>
      <c r="CX2" s="36" t="s">
        <v>483</v>
      </c>
      <c r="CY2" s="36" t="s">
        <v>484</v>
      </c>
      <c r="CZ2" s="36" t="s">
        <v>490</v>
      </c>
      <c r="DA2" s="36" t="s">
        <v>491</v>
      </c>
      <c r="DB2" s="36" t="s">
        <v>492</v>
      </c>
      <c r="DC2" s="36" t="s">
        <v>493</v>
      </c>
      <c r="DD2" s="36" t="s">
        <v>494</v>
      </c>
      <c r="DE2" s="36" t="s">
        <v>497</v>
      </c>
      <c r="DF2" s="36" t="s">
        <v>374</v>
      </c>
      <c r="DG2" s="36" t="s">
        <v>480</v>
      </c>
      <c r="DH2" s="36" t="s">
        <v>498</v>
      </c>
      <c r="DI2" s="36" t="s">
        <v>499</v>
      </c>
      <c r="DJ2" s="36" t="s">
        <v>500</v>
      </c>
      <c r="DK2" s="36" t="s">
        <v>501</v>
      </c>
      <c r="DL2" s="36" t="s">
        <v>246</v>
      </c>
      <c r="DM2" s="2" t="s">
        <v>565</v>
      </c>
    </row>
    <row r="3" hidden="1">
      <c r="A3" s="5" t="s">
        <v>2</v>
      </c>
      <c r="B3" s="10" t="s">
        <v>20</v>
      </c>
      <c r="C3" s="12" t="s">
        <v>566</v>
      </c>
      <c r="D3" s="12" t="s">
        <v>567</v>
      </c>
      <c r="E3" s="12" t="s">
        <v>568</v>
      </c>
      <c r="F3" s="12" t="s">
        <v>569</v>
      </c>
      <c r="G3" s="12" t="s">
        <v>570</v>
      </c>
      <c r="H3" s="12" t="s">
        <v>571</v>
      </c>
      <c r="I3" s="12" t="s">
        <v>572</v>
      </c>
      <c r="J3" s="12" t="s">
        <v>573</v>
      </c>
      <c r="K3" s="15"/>
      <c r="L3" s="17" t="s">
        <v>134</v>
      </c>
      <c r="M3" s="17" t="s">
        <v>149</v>
      </c>
      <c r="N3" s="20" t="s">
        <v>162</v>
      </c>
      <c r="O3" s="20" t="s">
        <v>162</v>
      </c>
      <c r="P3" s="20" t="s">
        <v>162</v>
      </c>
      <c r="Q3" s="21">
        <v>3000.0</v>
      </c>
      <c r="R3" s="20" t="s">
        <v>162</v>
      </c>
      <c r="S3" s="20" t="s">
        <v>162</v>
      </c>
      <c r="T3" s="20" t="s">
        <v>162</v>
      </c>
      <c r="U3" s="20" t="s">
        <v>162</v>
      </c>
      <c r="V3" s="21">
        <v>200000.0</v>
      </c>
      <c r="W3" s="15"/>
      <c r="X3" s="20">
        <v>8.5437099E7</v>
      </c>
      <c r="Y3" s="20" t="s">
        <v>186</v>
      </c>
      <c r="Z3" s="20" t="s">
        <v>188</v>
      </c>
      <c r="AA3" s="16" t="s">
        <v>190</v>
      </c>
      <c r="AB3" s="20" t="s">
        <v>193</v>
      </c>
      <c r="AC3" s="20" t="s">
        <v>195</v>
      </c>
      <c r="AD3" s="20" t="s">
        <v>198</v>
      </c>
      <c r="AE3" s="20" t="s">
        <v>201</v>
      </c>
      <c r="AF3" s="16" t="s">
        <v>214</v>
      </c>
      <c r="AG3" s="20" t="s">
        <v>217</v>
      </c>
      <c r="AH3" s="20" t="s">
        <v>226</v>
      </c>
      <c r="AI3" s="20" t="s">
        <v>168</v>
      </c>
      <c r="AJ3" s="20" t="s">
        <v>168</v>
      </c>
      <c r="AK3" s="20">
        <v>1.3</v>
      </c>
      <c r="AL3" s="20" t="s">
        <v>242</v>
      </c>
      <c r="AM3" s="16" t="s">
        <v>247</v>
      </c>
      <c r="AN3" s="16" t="s">
        <v>253</v>
      </c>
      <c r="AO3" s="20" t="s">
        <v>266</v>
      </c>
      <c r="AP3" s="16" t="s">
        <v>273</v>
      </c>
      <c r="AQ3" s="20" t="s">
        <v>284</v>
      </c>
      <c r="AR3" s="20" t="s">
        <v>290</v>
      </c>
      <c r="AS3" s="20" t="s">
        <v>292</v>
      </c>
      <c r="AT3" s="20" t="s">
        <v>296</v>
      </c>
      <c r="AU3" s="20" t="s">
        <v>299</v>
      </c>
      <c r="AV3" s="20" t="s">
        <v>310</v>
      </c>
      <c r="AW3" s="20" t="s">
        <v>318</v>
      </c>
      <c r="AX3" s="20" t="s">
        <v>329</v>
      </c>
      <c r="AY3" s="20" t="s">
        <v>334</v>
      </c>
      <c r="AZ3" s="16" t="s">
        <v>337</v>
      </c>
      <c r="BA3" s="16" t="s">
        <v>347</v>
      </c>
      <c r="BB3" s="16" t="s">
        <v>359</v>
      </c>
      <c r="BC3" s="24" t="s">
        <v>362</v>
      </c>
      <c r="BD3" s="16" t="s">
        <v>364</v>
      </c>
      <c r="BE3" s="20" t="s">
        <v>372</v>
      </c>
      <c r="BF3" s="20" t="s">
        <v>375</v>
      </c>
      <c r="BG3" s="20" t="s">
        <v>168</v>
      </c>
      <c r="BH3" s="20" t="s">
        <v>380</v>
      </c>
      <c r="BI3" s="20" t="s">
        <v>383</v>
      </c>
      <c r="BJ3" s="16" t="s">
        <v>386</v>
      </c>
      <c r="BK3" s="20" t="s">
        <v>186</v>
      </c>
      <c r="BL3" s="20" t="s">
        <v>168</v>
      </c>
      <c r="BM3" s="20" t="s">
        <v>391</v>
      </c>
      <c r="BN3" s="25" t="s">
        <v>394</v>
      </c>
      <c r="BO3" s="20" t="s">
        <v>186</v>
      </c>
      <c r="BP3" s="20" t="s">
        <v>186</v>
      </c>
      <c r="BQ3" s="20" t="s">
        <v>400</v>
      </c>
      <c r="BR3" s="21" t="s">
        <v>404</v>
      </c>
      <c r="BS3" s="21">
        <v>3000.0</v>
      </c>
      <c r="BT3" s="20" t="s">
        <v>186</v>
      </c>
      <c r="BU3" s="20" t="s">
        <v>186</v>
      </c>
      <c r="BV3" s="16" t="s">
        <v>409</v>
      </c>
      <c r="BW3" s="20" t="s">
        <v>414</v>
      </c>
      <c r="BX3" s="20" t="s">
        <v>418</v>
      </c>
      <c r="BY3" s="20" t="s">
        <v>422</v>
      </c>
      <c r="BZ3" s="20" t="s">
        <v>430</v>
      </c>
      <c r="CA3" s="20" t="s">
        <v>432</v>
      </c>
      <c r="CB3" s="20" t="s">
        <v>414</v>
      </c>
      <c r="CC3" s="20" t="s">
        <v>436</v>
      </c>
      <c r="CD3" s="16" t="s">
        <v>440</v>
      </c>
      <c r="CE3" s="20" t="s">
        <v>443</v>
      </c>
      <c r="CF3" s="20" t="s">
        <v>445</v>
      </c>
      <c r="CG3" s="20" t="s">
        <v>447</v>
      </c>
      <c r="CH3" s="20" t="s">
        <v>186</v>
      </c>
      <c r="CI3" s="20" t="s">
        <v>451</v>
      </c>
      <c r="CJ3" s="20" t="s">
        <v>454</v>
      </c>
      <c r="CK3" s="20" t="s">
        <v>464</v>
      </c>
      <c r="CL3" s="20" t="s">
        <v>466</v>
      </c>
      <c r="CM3" s="20" t="s">
        <v>186</v>
      </c>
      <c r="CN3" s="20" t="s">
        <v>186</v>
      </c>
      <c r="CO3" s="20" t="s">
        <v>186</v>
      </c>
      <c r="CP3" s="20" t="s">
        <v>186</v>
      </c>
      <c r="CQ3" s="16" t="s">
        <v>186</v>
      </c>
      <c r="CR3" s="16" t="s">
        <v>473</v>
      </c>
      <c r="CS3" s="20" t="s">
        <v>478</v>
      </c>
      <c r="CT3" s="20" t="s">
        <v>186</v>
      </c>
      <c r="CU3" s="20" t="s">
        <v>186</v>
      </c>
      <c r="CV3" s="20" t="s">
        <v>186</v>
      </c>
      <c r="CW3" s="20" t="s">
        <v>186</v>
      </c>
      <c r="CX3" s="20" t="s">
        <v>186</v>
      </c>
      <c r="CY3" s="20" t="s">
        <v>485</v>
      </c>
      <c r="CZ3" s="20">
        <v>1.0</v>
      </c>
      <c r="DA3" s="20">
        <v>2.0</v>
      </c>
      <c r="DB3" s="20">
        <v>1.0</v>
      </c>
      <c r="DC3" s="20" t="s">
        <v>168</v>
      </c>
      <c r="DD3" s="20" t="s">
        <v>495</v>
      </c>
      <c r="DE3" s="20" t="s">
        <v>168</v>
      </c>
      <c r="DF3" s="20">
        <v>1.0</v>
      </c>
      <c r="DG3" s="20">
        <v>1.0</v>
      </c>
      <c r="DH3" s="20">
        <v>1.0</v>
      </c>
      <c r="DI3" s="20">
        <v>1.0</v>
      </c>
      <c r="DJ3" s="20">
        <v>1.0</v>
      </c>
      <c r="DK3" s="20">
        <v>1.0</v>
      </c>
      <c r="DL3" s="17"/>
      <c r="DM3" s="17"/>
    </row>
    <row r="4" hidden="1">
      <c r="A4" s="5" t="s">
        <v>3</v>
      </c>
      <c r="B4" s="10" t="s">
        <v>20</v>
      </c>
      <c r="C4" s="12" t="s">
        <v>574</v>
      </c>
      <c r="D4" s="12" t="s">
        <v>575</v>
      </c>
      <c r="E4" s="12" t="s">
        <v>576</v>
      </c>
      <c r="F4" s="12" t="s">
        <v>577</v>
      </c>
      <c r="G4" s="12" t="s">
        <v>578</v>
      </c>
      <c r="H4" s="12" t="s">
        <v>579</v>
      </c>
      <c r="I4" s="13"/>
      <c r="J4" s="12" t="s">
        <v>580</v>
      </c>
      <c r="K4" s="15"/>
      <c r="L4" s="17" t="s">
        <v>135</v>
      </c>
      <c r="M4" s="17" t="s">
        <v>150</v>
      </c>
      <c r="N4" s="20" t="s">
        <v>162</v>
      </c>
      <c r="O4" s="20" t="s">
        <v>162</v>
      </c>
      <c r="P4" s="20" t="s">
        <v>168</v>
      </c>
      <c r="Q4" s="21">
        <v>3000.0</v>
      </c>
      <c r="R4" s="20" t="s">
        <v>162</v>
      </c>
      <c r="S4" s="20" t="s">
        <v>162</v>
      </c>
      <c r="T4" s="20" t="s">
        <v>162</v>
      </c>
      <c r="U4" s="20" t="s">
        <v>162</v>
      </c>
      <c r="V4" s="20" t="s">
        <v>180</v>
      </c>
      <c r="W4" s="15"/>
      <c r="X4" s="20">
        <v>8.5437099E7</v>
      </c>
      <c r="Y4" s="20" t="s">
        <v>186</v>
      </c>
      <c r="Z4" s="20" t="s">
        <v>188</v>
      </c>
      <c r="AA4" s="16" t="s">
        <v>190</v>
      </c>
      <c r="AB4" s="20" t="s">
        <v>193</v>
      </c>
      <c r="AC4" s="20" t="s">
        <v>195</v>
      </c>
      <c r="AD4" s="20" t="s">
        <v>198</v>
      </c>
      <c r="AE4" s="20" t="s">
        <v>202</v>
      </c>
      <c r="AF4" s="16" t="s">
        <v>214</v>
      </c>
      <c r="AG4" s="20" t="s">
        <v>218</v>
      </c>
      <c r="AH4" s="20" t="s">
        <v>226</v>
      </c>
      <c r="AI4" s="20" t="s">
        <v>231</v>
      </c>
      <c r="AJ4" s="20" t="s">
        <v>168</v>
      </c>
      <c r="AK4" s="20">
        <v>1.5</v>
      </c>
      <c r="AL4" s="20" t="s">
        <v>243</v>
      </c>
      <c r="AM4" s="16" t="s">
        <v>248</v>
      </c>
      <c r="AN4" s="16" t="s">
        <v>254</v>
      </c>
      <c r="AO4" s="20" t="s">
        <v>266</v>
      </c>
      <c r="AP4" s="16" t="s">
        <v>273</v>
      </c>
      <c r="AQ4" s="20" t="s">
        <v>284</v>
      </c>
      <c r="AR4" s="20" t="s">
        <v>290</v>
      </c>
      <c r="AS4" s="20" t="s">
        <v>292</v>
      </c>
      <c r="AT4" s="20" t="s">
        <v>296</v>
      </c>
      <c r="AU4" s="20" t="s">
        <v>299</v>
      </c>
      <c r="AV4" s="20" t="s">
        <v>310</v>
      </c>
      <c r="AW4" s="20" t="s">
        <v>318</v>
      </c>
      <c r="AX4" s="20" t="s">
        <v>329</v>
      </c>
      <c r="AY4" s="20" t="s">
        <v>334</v>
      </c>
      <c r="AZ4" s="16" t="s">
        <v>338</v>
      </c>
      <c r="BA4" s="16" t="s">
        <v>348</v>
      </c>
      <c r="BB4" s="16" t="s">
        <v>168</v>
      </c>
      <c r="BC4" s="16" t="s">
        <v>168</v>
      </c>
      <c r="BD4" s="16" t="s">
        <v>364</v>
      </c>
      <c r="BE4" s="20" t="s">
        <v>372</v>
      </c>
      <c r="BF4" s="20" t="s">
        <v>375</v>
      </c>
      <c r="BG4" s="25" t="s">
        <v>377</v>
      </c>
      <c r="BH4" s="20" t="s">
        <v>380</v>
      </c>
      <c r="BI4" s="20" t="s">
        <v>383</v>
      </c>
      <c r="BJ4" s="16" t="s">
        <v>386</v>
      </c>
      <c r="BK4" s="20" t="s">
        <v>186</v>
      </c>
      <c r="BL4" s="20" t="s">
        <v>168</v>
      </c>
      <c r="BM4" s="20" t="s">
        <v>391</v>
      </c>
      <c r="BN4" s="25" t="s">
        <v>394</v>
      </c>
      <c r="BO4" s="20" t="s">
        <v>186</v>
      </c>
      <c r="BP4" s="20" t="s">
        <v>186</v>
      </c>
      <c r="BQ4" s="20" t="s">
        <v>400</v>
      </c>
      <c r="BR4" s="21" t="s">
        <v>404</v>
      </c>
      <c r="BS4" s="21">
        <v>30000.0</v>
      </c>
      <c r="BT4" s="20" t="s">
        <v>186</v>
      </c>
      <c r="BU4" s="20" t="s">
        <v>186</v>
      </c>
      <c r="BV4" s="16" t="s">
        <v>409</v>
      </c>
      <c r="BW4" s="20" t="s">
        <v>414</v>
      </c>
      <c r="BX4" s="20" t="s">
        <v>418</v>
      </c>
      <c r="BY4" s="20" t="s">
        <v>423</v>
      </c>
      <c r="BZ4" s="20" t="s">
        <v>430</v>
      </c>
      <c r="CA4" s="20" t="s">
        <v>168</v>
      </c>
      <c r="CB4" s="20" t="s">
        <v>168</v>
      </c>
      <c r="CC4" s="20" t="s">
        <v>168</v>
      </c>
      <c r="CD4" s="16" t="s">
        <v>440</v>
      </c>
      <c r="CE4" s="20" t="s">
        <v>443</v>
      </c>
      <c r="CF4" s="20" t="s">
        <v>445</v>
      </c>
      <c r="CG4" s="20" t="s">
        <v>447</v>
      </c>
      <c r="CH4" s="20" t="s">
        <v>186</v>
      </c>
      <c r="CI4" s="20" t="s">
        <v>451</v>
      </c>
      <c r="CJ4" s="20" t="s">
        <v>455</v>
      </c>
      <c r="CK4" s="20" t="s">
        <v>464</v>
      </c>
      <c r="CL4" s="20" t="s">
        <v>466</v>
      </c>
      <c r="CM4" s="20" t="s">
        <v>186</v>
      </c>
      <c r="CN4" s="20" t="s">
        <v>186</v>
      </c>
      <c r="CO4" s="20" t="s">
        <v>186</v>
      </c>
      <c r="CP4" s="20" t="s">
        <v>186</v>
      </c>
      <c r="CQ4" s="16" t="s">
        <v>186</v>
      </c>
      <c r="CR4" s="16" t="s">
        <v>474</v>
      </c>
      <c r="CS4" s="20" t="s">
        <v>478</v>
      </c>
      <c r="CT4" s="20" t="s">
        <v>186</v>
      </c>
      <c r="CU4" s="20" t="s">
        <v>186</v>
      </c>
      <c r="CV4" s="20" t="s">
        <v>186</v>
      </c>
      <c r="CW4" s="20" t="s">
        <v>186</v>
      </c>
      <c r="CX4" s="20" t="s">
        <v>186</v>
      </c>
      <c r="CY4" s="20" t="s">
        <v>485</v>
      </c>
      <c r="CZ4" s="20">
        <v>1.0</v>
      </c>
      <c r="DA4" s="20">
        <v>1.0</v>
      </c>
      <c r="DB4" s="20">
        <v>3.0</v>
      </c>
      <c r="DC4" s="20" t="s">
        <v>168</v>
      </c>
      <c r="DD4" s="20" t="s">
        <v>495</v>
      </c>
      <c r="DE4" s="20" t="s">
        <v>168</v>
      </c>
      <c r="DF4" s="20">
        <v>1.0</v>
      </c>
      <c r="DG4" s="20">
        <v>1.0</v>
      </c>
      <c r="DH4" s="20">
        <v>1.0</v>
      </c>
      <c r="DI4" s="20">
        <v>1.0</v>
      </c>
      <c r="DJ4" s="20">
        <v>1.0</v>
      </c>
      <c r="DK4" s="20">
        <v>1.0</v>
      </c>
      <c r="DL4" s="17"/>
      <c r="DM4" s="17"/>
    </row>
    <row r="5" hidden="1">
      <c r="A5" s="5" t="s">
        <v>4</v>
      </c>
      <c r="B5" s="10" t="s">
        <v>21</v>
      </c>
      <c r="C5" s="12" t="s">
        <v>581</v>
      </c>
      <c r="D5" s="12" t="s">
        <v>582</v>
      </c>
      <c r="E5" s="12" t="s">
        <v>583</v>
      </c>
      <c r="F5" s="12" t="s">
        <v>584</v>
      </c>
      <c r="G5" s="14"/>
      <c r="H5" s="12" t="s">
        <v>585</v>
      </c>
      <c r="I5" s="12" t="s">
        <v>586</v>
      </c>
      <c r="J5" s="12" t="s">
        <v>587</v>
      </c>
      <c r="K5" s="15"/>
      <c r="L5" s="17" t="s">
        <v>136</v>
      </c>
      <c r="M5" s="17" t="s">
        <v>151</v>
      </c>
      <c r="N5" s="20" t="s">
        <v>163</v>
      </c>
      <c r="O5" s="20" t="s">
        <v>163</v>
      </c>
      <c r="P5" s="20" t="s">
        <v>168</v>
      </c>
      <c r="Q5" s="21">
        <v>1000.0</v>
      </c>
      <c r="R5" s="20" t="s">
        <v>163</v>
      </c>
      <c r="S5" s="20" t="s">
        <v>163</v>
      </c>
      <c r="T5" s="20" t="s">
        <v>163</v>
      </c>
      <c r="U5" s="20" t="s">
        <v>163</v>
      </c>
      <c r="V5" s="21">
        <v>150000.0</v>
      </c>
      <c r="W5" s="15"/>
      <c r="X5" s="20">
        <v>8.5437099E7</v>
      </c>
      <c r="Y5" s="20" t="s">
        <v>186</v>
      </c>
      <c r="Z5" s="20" t="s">
        <v>188</v>
      </c>
      <c r="AA5" s="16" t="s">
        <v>190</v>
      </c>
      <c r="AB5" s="20" t="s">
        <v>193</v>
      </c>
      <c r="AC5" s="20" t="s">
        <v>195</v>
      </c>
      <c r="AD5" s="20" t="s">
        <v>198</v>
      </c>
      <c r="AE5" s="20" t="s">
        <v>203</v>
      </c>
      <c r="AF5" s="16" t="s">
        <v>214</v>
      </c>
      <c r="AG5" s="20" t="s">
        <v>219</v>
      </c>
      <c r="AH5" s="20" t="s">
        <v>226</v>
      </c>
      <c r="AI5" s="20" t="s">
        <v>168</v>
      </c>
      <c r="AJ5" s="20" t="s">
        <v>168</v>
      </c>
      <c r="AK5" s="20">
        <v>0.85</v>
      </c>
      <c r="AL5" s="20" t="s">
        <v>242</v>
      </c>
      <c r="AM5" s="16" t="s">
        <v>247</v>
      </c>
      <c r="AN5" s="16" t="s">
        <v>255</v>
      </c>
      <c r="AO5" s="20" t="s">
        <v>266</v>
      </c>
      <c r="AP5" s="16" t="s">
        <v>274</v>
      </c>
      <c r="AQ5" s="20" t="s">
        <v>285</v>
      </c>
      <c r="AR5" s="20" t="s">
        <v>290</v>
      </c>
      <c r="AS5" s="16" t="s">
        <v>292</v>
      </c>
      <c r="AT5" s="20" t="s">
        <v>297</v>
      </c>
      <c r="AU5" s="20" t="s">
        <v>300</v>
      </c>
      <c r="AV5" s="20" t="s">
        <v>310</v>
      </c>
      <c r="AW5" s="16" t="s">
        <v>319</v>
      </c>
      <c r="AX5" s="20" t="s">
        <v>330</v>
      </c>
      <c r="AY5" s="20" t="s">
        <v>334</v>
      </c>
      <c r="AZ5" s="16" t="s">
        <v>339</v>
      </c>
      <c r="BA5" s="16" t="s">
        <v>349</v>
      </c>
      <c r="BB5" s="16" t="s">
        <v>168</v>
      </c>
      <c r="BC5" s="16" t="s">
        <v>168</v>
      </c>
      <c r="BD5" s="16" t="s">
        <v>365</v>
      </c>
      <c r="BE5" s="20" t="s">
        <v>372</v>
      </c>
      <c r="BF5" s="20" t="s">
        <v>375</v>
      </c>
      <c r="BG5" s="20" t="s">
        <v>168</v>
      </c>
      <c r="BH5" s="20" t="s">
        <v>380</v>
      </c>
      <c r="BI5" s="20" t="s">
        <v>383</v>
      </c>
      <c r="BJ5" s="16" t="s">
        <v>386</v>
      </c>
      <c r="BK5" s="20" t="s">
        <v>186</v>
      </c>
      <c r="BL5" s="20" t="s">
        <v>168</v>
      </c>
      <c r="BM5" s="20" t="s">
        <v>392</v>
      </c>
      <c r="BN5" s="16" t="s">
        <v>168</v>
      </c>
      <c r="BO5" s="16" t="s">
        <v>168</v>
      </c>
      <c r="BP5" s="20" t="s">
        <v>186</v>
      </c>
      <c r="BQ5" s="20" t="s">
        <v>400</v>
      </c>
      <c r="BR5" s="21" t="s">
        <v>404</v>
      </c>
      <c r="BS5" s="21">
        <v>3000.0</v>
      </c>
      <c r="BT5" s="20" t="s">
        <v>168</v>
      </c>
      <c r="BU5" s="20" t="s">
        <v>168</v>
      </c>
      <c r="BV5" s="16" t="s">
        <v>409</v>
      </c>
      <c r="BW5" s="20" t="s">
        <v>414</v>
      </c>
      <c r="BX5" s="20" t="s">
        <v>418</v>
      </c>
      <c r="BY5" s="20" t="s">
        <v>422</v>
      </c>
      <c r="BZ5" s="20" t="s">
        <v>430</v>
      </c>
      <c r="CA5" s="20" t="s">
        <v>168</v>
      </c>
      <c r="CB5" s="20" t="s">
        <v>168</v>
      </c>
      <c r="CC5" s="20" t="s">
        <v>168</v>
      </c>
      <c r="CD5" s="16" t="s">
        <v>440</v>
      </c>
      <c r="CE5" s="20" t="s">
        <v>443</v>
      </c>
      <c r="CF5" s="20" t="s">
        <v>445</v>
      </c>
      <c r="CG5" s="20" t="s">
        <v>447</v>
      </c>
      <c r="CH5" s="20" t="s">
        <v>186</v>
      </c>
      <c r="CI5" s="20" t="s">
        <v>451</v>
      </c>
      <c r="CJ5" s="20" t="s">
        <v>455</v>
      </c>
      <c r="CK5" s="20" t="s">
        <v>464</v>
      </c>
      <c r="CL5" s="20" t="s">
        <v>466</v>
      </c>
      <c r="CM5" s="20" t="s">
        <v>186</v>
      </c>
      <c r="CN5" s="20" t="s">
        <v>186</v>
      </c>
      <c r="CO5" s="20" t="s">
        <v>186</v>
      </c>
      <c r="CP5" s="20" t="s">
        <v>186</v>
      </c>
      <c r="CQ5" s="16" t="s">
        <v>186</v>
      </c>
      <c r="CR5" s="16" t="s">
        <v>474</v>
      </c>
      <c r="CS5" s="20" t="s">
        <v>478</v>
      </c>
      <c r="CT5" s="20" t="s">
        <v>186</v>
      </c>
      <c r="CU5" s="20" t="s">
        <v>186</v>
      </c>
      <c r="CV5" s="20" t="s">
        <v>186</v>
      </c>
      <c r="CW5" s="20" t="s">
        <v>186</v>
      </c>
      <c r="CX5" s="20" t="s">
        <v>186</v>
      </c>
      <c r="CY5" s="20" t="s">
        <v>486</v>
      </c>
      <c r="CZ5" s="20">
        <v>1.0</v>
      </c>
      <c r="DA5" s="20" t="s">
        <v>168</v>
      </c>
      <c r="DB5" s="20">
        <v>1.0</v>
      </c>
      <c r="DC5" s="20">
        <v>1.0</v>
      </c>
      <c r="DD5" s="20" t="s">
        <v>495</v>
      </c>
      <c r="DE5" s="20">
        <v>1.0</v>
      </c>
      <c r="DF5" s="20">
        <v>1.0</v>
      </c>
      <c r="DG5" s="20">
        <v>1.0</v>
      </c>
      <c r="DH5" s="20">
        <v>1.0</v>
      </c>
      <c r="DI5" s="20">
        <v>1.0</v>
      </c>
      <c r="DJ5" s="20">
        <v>1.0</v>
      </c>
      <c r="DK5" s="20">
        <v>1.0</v>
      </c>
      <c r="DL5" s="17"/>
      <c r="DM5" s="17"/>
    </row>
    <row r="6" hidden="1">
      <c r="A6" s="5" t="s">
        <v>5</v>
      </c>
      <c r="B6" s="10" t="s">
        <v>22</v>
      </c>
      <c r="C6" s="12" t="s">
        <v>588</v>
      </c>
      <c r="D6" s="12" t="s">
        <v>589</v>
      </c>
      <c r="E6" s="12" t="s">
        <v>590</v>
      </c>
      <c r="F6" s="12" t="s">
        <v>591</v>
      </c>
      <c r="G6" s="14"/>
      <c r="H6" s="14"/>
      <c r="I6" s="14"/>
      <c r="J6" s="14"/>
      <c r="K6" s="16" t="s">
        <v>132</v>
      </c>
      <c r="L6" s="17" t="s">
        <v>137</v>
      </c>
      <c r="M6" s="17" t="s">
        <v>152</v>
      </c>
      <c r="N6" s="21">
        <v>10000.0</v>
      </c>
      <c r="O6" s="21">
        <v>6000.0</v>
      </c>
      <c r="P6" s="21">
        <v>6000.0</v>
      </c>
      <c r="Q6" s="20" t="s">
        <v>168</v>
      </c>
      <c r="R6" s="20" t="s">
        <v>168</v>
      </c>
      <c r="S6" s="21">
        <v>10000.0</v>
      </c>
      <c r="T6" s="21">
        <v>10000.0</v>
      </c>
      <c r="U6" s="21">
        <v>10000.0</v>
      </c>
      <c r="V6" s="21">
        <v>200000.0</v>
      </c>
      <c r="W6" s="15"/>
      <c r="X6" s="20">
        <v>8.5437099E7</v>
      </c>
      <c r="Y6" s="20" t="s">
        <v>186</v>
      </c>
      <c r="Z6" s="20" t="s">
        <v>188</v>
      </c>
      <c r="AA6" s="16" t="s">
        <v>190</v>
      </c>
      <c r="AB6" s="20" t="s">
        <v>193</v>
      </c>
      <c r="AC6" s="20" t="s">
        <v>195</v>
      </c>
      <c r="AD6" s="20" t="s">
        <v>198</v>
      </c>
      <c r="AE6" s="20" t="s">
        <v>204</v>
      </c>
      <c r="AF6" s="16" t="s">
        <v>214</v>
      </c>
      <c r="AG6" s="20" t="s">
        <v>220</v>
      </c>
      <c r="AH6" s="20" t="s">
        <v>226</v>
      </c>
      <c r="AI6" s="20" t="s">
        <v>232</v>
      </c>
      <c r="AJ6" s="20" t="s">
        <v>168</v>
      </c>
      <c r="AK6" s="20">
        <v>0.503</v>
      </c>
      <c r="AL6" s="20" t="s">
        <v>243</v>
      </c>
      <c r="AM6" s="16" t="s">
        <v>249</v>
      </c>
      <c r="AN6" s="16" t="s">
        <v>256</v>
      </c>
      <c r="AO6" s="16" t="s">
        <v>266</v>
      </c>
      <c r="AP6" s="16" t="s">
        <v>275</v>
      </c>
      <c r="AQ6" s="20" t="s">
        <v>284</v>
      </c>
      <c r="AR6" s="20" t="s">
        <v>290</v>
      </c>
      <c r="AS6" s="20" t="s">
        <v>292</v>
      </c>
      <c r="AT6" s="20" t="s">
        <v>296</v>
      </c>
      <c r="AU6" s="20" t="s">
        <v>300</v>
      </c>
      <c r="AV6" s="16" t="s">
        <v>311</v>
      </c>
      <c r="AW6" s="16" t="s">
        <v>320</v>
      </c>
      <c r="AX6" s="20" t="s">
        <v>330</v>
      </c>
      <c r="AY6" s="20" t="s">
        <v>335</v>
      </c>
      <c r="AZ6" s="16" t="s">
        <v>340</v>
      </c>
      <c r="BA6" s="16" t="s">
        <v>350</v>
      </c>
      <c r="BB6" s="16" t="s">
        <v>359</v>
      </c>
      <c r="BC6" s="24" t="s">
        <v>362</v>
      </c>
      <c r="BD6" s="16" t="s">
        <v>364</v>
      </c>
      <c r="BE6" s="20" t="s">
        <v>372</v>
      </c>
      <c r="BF6" s="20" t="s">
        <v>375</v>
      </c>
      <c r="BG6" s="20" t="s">
        <v>168</v>
      </c>
      <c r="BH6" s="20" t="s">
        <v>380</v>
      </c>
      <c r="BI6" s="20" t="s">
        <v>383</v>
      </c>
      <c r="BJ6" s="16" t="s">
        <v>386</v>
      </c>
      <c r="BK6" s="20" t="s">
        <v>186</v>
      </c>
      <c r="BL6" s="20" t="s">
        <v>168</v>
      </c>
      <c r="BM6" s="20" t="s">
        <v>392</v>
      </c>
      <c r="BN6" s="25" t="s">
        <v>394</v>
      </c>
      <c r="BO6" s="20" t="s">
        <v>186</v>
      </c>
      <c r="BP6" s="20" t="s">
        <v>186</v>
      </c>
      <c r="BQ6" s="20" t="s">
        <v>400</v>
      </c>
      <c r="BR6" s="21" t="s">
        <v>404</v>
      </c>
      <c r="BS6" s="26">
        <v>3000.0</v>
      </c>
      <c r="BT6" s="16" t="s">
        <v>168</v>
      </c>
      <c r="BU6" s="16" t="s">
        <v>168</v>
      </c>
      <c r="BV6" s="20" t="s">
        <v>410</v>
      </c>
      <c r="BW6" s="20" t="s">
        <v>415</v>
      </c>
      <c r="BX6" s="20" t="s">
        <v>419</v>
      </c>
      <c r="BY6" s="20" t="s">
        <v>424</v>
      </c>
      <c r="BZ6" s="20" t="s">
        <v>430</v>
      </c>
      <c r="CA6" s="20" t="s">
        <v>433</v>
      </c>
      <c r="CB6" s="20" t="s">
        <v>415</v>
      </c>
      <c r="CC6" s="20" t="s">
        <v>437</v>
      </c>
      <c r="CD6" s="20" t="s">
        <v>168</v>
      </c>
      <c r="CE6" s="20" t="s">
        <v>168</v>
      </c>
      <c r="CF6" s="20" t="s">
        <v>168</v>
      </c>
      <c r="CG6" s="20" t="s">
        <v>168</v>
      </c>
      <c r="CH6" s="20" t="s">
        <v>186</v>
      </c>
      <c r="CI6" s="20" t="s">
        <v>451</v>
      </c>
      <c r="CJ6" s="20" t="s">
        <v>456</v>
      </c>
      <c r="CK6" s="20" t="s">
        <v>464</v>
      </c>
      <c r="CL6" s="20" t="s">
        <v>466</v>
      </c>
      <c r="CM6" s="20" t="s">
        <v>186</v>
      </c>
      <c r="CN6" s="16" t="s">
        <v>168</v>
      </c>
      <c r="CO6" s="20" t="s">
        <v>186</v>
      </c>
      <c r="CP6" s="20" t="s">
        <v>186</v>
      </c>
      <c r="CQ6" s="20" t="s">
        <v>186</v>
      </c>
      <c r="CR6" s="20" t="s">
        <v>186</v>
      </c>
      <c r="CS6" s="20" t="s">
        <v>478</v>
      </c>
      <c r="CT6" s="20" t="s">
        <v>186</v>
      </c>
      <c r="CU6" s="20" t="s">
        <v>186</v>
      </c>
      <c r="CV6" s="20" t="s">
        <v>186</v>
      </c>
      <c r="CW6" s="20" t="s">
        <v>186</v>
      </c>
      <c r="CX6" s="20" t="s">
        <v>186</v>
      </c>
      <c r="CY6" s="16" t="s">
        <v>487</v>
      </c>
      <c r="CZ6" s="20">
        <v>1.0</v>
      </c>
      <c r="DA6" s="20" t="s">
        <v>168</v>
      </c>
      <c r="DB6" s="20">
        <v>1.0</v>
      </c>
      <c r="DC6" s="20">
        <v>1.0</v>
      </c>
      <c r="DD6" s="20" t="s">
        <v>495</v>
      </c>
      <c r="DE6" s="20">
        <v>1.0</v>
      </c>
      <c r="DF6" s="20">
        <v>1.0</v>
      </c>
      <c r="DG6" s="20">
        <v>1.0</v>
      </c>
      <c r="DH6" s="20">
        <v>1.0</v>
      </c>
      <c r="DI6" s="20">
        <v>1.0</v>
      </c>
      <c r="DJ6" s="20">
        <v>1.0</v>
      </c>
      <c r="DK6" s="20">
        <v>1.0</v>
      </c>
      <c r="DL6" s="17"/>
      <c r="DM6" s="17"/>
    </row>
    <row r="7" hidden="1">
      <c r="A7" s="5" t="s">
        <v>6</v>
      </c>
      <c r="B7" s="10" t="s">
        <v>23</v>
      </c>
      <c r="C7" s="12" t="s">
        <v>592</v>
      </c>
      <c r="D7" s="12" t="s">
        <v>593</v>
      </c>
      <c r="E7" s="12" t="s">
        <v>594</v>
      </c>
      <c r="F7" s="12" t="s">
        <v>595</v>
      </c>
      <c r="G7" s="14"/>
      <c r="H7" s="12" t="s">
        <v>596</v>
      </c>
      <c r="I7" s="12" t="s">
        <v>597</v>
      </c>
      <c r="J7" s="12" t="s">
        <v>598</v>
      </c>
      <c r="K7" s="15"/>
      <c r="L7" s="17" t="s">
        <v>138</v>
      </c>
      <c r="M7" s="17" t="s">
        <v>153</v>
      </c>
      <c r="N7" s="20" t="s">
        <v>164</v>
      </c>
      <c r="O7" s="21">
        <v>3000.0</v>
      </c>
      <c r="P7" s="20" t="s">
        <v>168</v>
      </c>
      <c r="Q7" s="20" t="s">
        <v>168</v>
      </c>
      <c r="R7" s="20" t="s">
        <v>168</v>
      </c>
      <c r="S7" s="20" t="s">
        <v>164</v>
      </c>
      <c r="T7" s="20" t="s">
        <v>164</v>
      </c>
      <c r="U7" s="20" t="s">
        <v>164</v>
      </c>
      <c r="V7" s="21">
        <v>200000.0</v>
      </c>
      <c r="W7" s="15"/>
      <c r="X7" s="20">
        <v>8.5437099E7</v>
      </c>
      <c r="Y7" s="20" t="s">
        <v>186</v>
      </c>
      <c r="Z7" s="20" t="s">
        <v>188</v>
      </c>
      <c r="AA7" s="16" t="s">
        <v>190</v>
      </c>
      <c r="AB7" s="20" t="s">
        <v>193</v>
      </c>
      <c r="AC7" s="16" t="s">
        <v>196</v>
      </c>
      <c r="AD7" s="20" t="s">
        <v>198</v>
      </c>
      <c r="AE7" s="20" t="s">
        <v>205</v>
      </c>
      <c r="AF7" s="16" t="s">
        <v>215</v>
      </c>
      <c r="AG7" s="20" t="s">
        <v>220</v>
      </c>
      <c r="AH7" s="20" t="s">
        <v>226</v>
      </c>
      <c r="AI7" s="20" t="s">
        <v>232</v>
      </c>
      <c r="AJ7" s="20" t="s">
        <v>168</v>
      </c>
      <c r="AK7" s="16" t="s">
        <v>240</v>
      </c>
      <c r="AL7" s="20" t="s">
        <v>243</v>
      </c>
      <c r="AM7" s="16" t="s">
        <v>250</v>
      </c>
      <c r="AN7" s="16" t="s">
        <v>257</v>
      </c>
      <c r="AO7" s="16" t="s">
        <v>267</v>
      </c>
      <c r="AP7" s="16" t="s">
        <v>276</v>
      </c>
      <c r="AQ7" s="20" t="s">
        <v>284</v>
      </c>
      <c r="AR7" s="20" t="s">
        <v>290</v>
      </c>
      <c r="AS7" s="20" t="s">
        <v>293</v>
      </c>
      <c r="AT7" s="20" t="s">
        <v>294</v>
      </c>
      <c r="AU7" s="20" t="s">
        <v>301</v>
      </c>
      <c r="AV7" s="20" t="s">
        <v>310</v>
      </c>
      <c r="AW7" s="16" t="s">
        <v>321</v>
      </c>
      <c r="AX7" s="20" t="s">
        <v>331</v>
      </c>
      <c r="AY7" s="20" t="s">
        <v>334</v>
      </c>
      <c r="AZ7" s="16" t="s">
        <v>341</v>
      </c>
      <c r="BA7" s="16" t="s">
        <v>350</v>
      </c>
      <c r="BB7" s="16" t="s">
        <v>168</v>
      </c>
      <c r="BC7" s="16" t="s">
        <v>168</v>
      </c>
      <c r="BD7" s="16" t="s">
        <v>366</v>
      </c>
      <c r="BE7" s="20" t="s">
        <v>372</v>
      </c>
      <c r="BF7" s="20" t="s">
        <v>375</v>
      </c>
      <c r="BG7" s="20" t="s">
        <v>168</v>
      </c>
      <c r="BH7" s="20" t="s">
        <v>380</v>
      </c>
      <c r="BI7" s="20" t="s">
        <v>383</v>
      </c>
      <c r="BJ7" s="16" t="s">
        <v>386</v>
      </c>
      <c r="BK7" s="20" t="s">
        <v>186</v>
      </c>
      <c r="BL7" s="20" t="s">
        <v>168</v>
      </c>
      <c r="BM7" s="20" t="s">
        <v>392</v>
      </c>
      <c r="BN7" s="16" t="s">
        <v>168</v>
      </c>
      <c r="BO7" s="16" t="s">
        <v>168</v>
      </c>
      <c r="BP7" s="20" t="s">
        <v>186</v>
      </c>
      <c r="BQ7" s="20" t="s">
        <v>400</v>
      </c>
      <c r="BR7" s="21" t="s">
        <v>404</v>
      </c>
      <c r="BS7" s="21">
        <v>3000.0</v>
      </c>
      <c r="BT7" s="20" t="s">
        <v>168</v>
      </c>
      <c r="BU7" s="20" t="s">
        <v>168</v>
      </c>
      <c r="BV7" s="20" t="s">
        <v>411</v>
      </c>
      <c r="BW7" s="20" t="s">
        <v>416</v>
      </c>
      <c r="BX7" s="20" t="s">
        <v>420</v>
      </c>
      <c r="BY7" s="20" t="s">
        <v>422</v>
      </c>
      <c r="BZ7" s="20" t="s">
        <v>430</v>
      </c>
      <c r="CA7" s="20" t="s">
        <v>168</v>
      </c>
      <c r="CB7" s="20" t="s">
        <v>168</v>
      </c>
      <c r="CC7" s="20" t="s">
        <v>168</v>
      </c>
      <c r="CD7" s="20" t="s">
        <v>168</v>
      </c>
      <c r="CE7" s="20" t="s">
        <v>168</v>
      </c>
      <c r="CF7" s="20" t="s">
        <v>168</v>
      </c>
      <c r="CG7" s="20" t="s">
        <v>168</v>
      </c>
      <c r="CH7" s="20" t="s">
        <v>186</v>
      </c>
      <c r="CI7" s="20" t="s">
        <v>451</v>
      </c>
      <c r="CJ7" s="20" t="s">
        <v>456</v>
      </c>
      <c r="CK7" s="20" t="s">
        <v>464</v>
      </c>
      <c r="CL7" s="20" t="s">
        <v>168</v>
      </c>
      <c r="CM7" s="20" t="s">
        <v>186</v>
      </c>
      <c r="CN7" s="16" t="s">
        <v>186</v>
      </c>
      <c r="CO7" s="20" t="s">
        <v>186</v>
      </c>
      <c r="CP7" s="20" t="s">
        <v>186</v>
      </c>
      <c r="CQ7" s="20" t="s">
        <v>186</v>
      </c>
      <c r="CR7" s="16" t="s">
        <v>474</v>
      </c>
      <c r="CS7" s="20" t="s">
        <v>479</v>
      </c>
      <c r="CT7" s="20" t="s">
        <v>168</v>
      </c>
      <c r="CU7" s="20" t="s">
        <v>168</v>
      </c>
      <c r="CV7" s="20" t="s">
        <v>186</v>
      </c>
      <c r="CW7" s="20" t="s">
        <v>186</v>
      </c>
      <c r="CX7" s="20" t="s">
        <v>186</v>
      </c>
      <c r="CY7" s="16" t="s">
        <v>487</v>
      </c>
      <c r="CZ7" s="20" t="s">
        <v>168</v>
      </c>
      <c r="DA7" s="20" t="s">
        <v>168</v>
      </c>
      <c r="DB7" s="20" t="s">
        <v>168</v>
      </c>
      <c r="DC7" s="20">
        <v>1.0</v>
      </c>
      <c r="DD7" s="20" t="s">
        <v>168</v>
      </c>
      <c r="DE7" s="20" t="s">
        <v>168</v>
      </c>
      <c r="DF7" s="20">
        <v>1.0</v>
      </c>
      <c r="DG7" s="20" t="s">
        <v>168</v>
      </c>
      <c r="DH7" s="20" t="s">
        <v>168</v>
      </c>
      <c r="DI7" s="20">
        <v>1.0</v>
      </c>
      <c r="DJ7" s="20">
        <v>1.0</v>
      </c>
      <c r="DK7" s="20">
        <v>1.0</v>
      </c>
      <c r="DL7" s="17"/>
      <c r="DM7" s="17"/>
    </row>
    <row r="8" hidden="1">
      <c r="A8" s="5" t="s">
        <v>7</v>
      </c>
      <c r="B8" s="10" t="s">
        <v>20</v>
      </c>
      <c r="C8" s="12" t="s">
        <v>599</v>
      </c>
      <c r="D8" s="12" t="s">
        <v>600</v>
      </c>
      <c r="E8" s="12" t="s">
        <v>601</v>
      </c>
      <c r="F8" s="12" t="s">
        <v>602</v>
      </c>
      <c r="G8" s="12" t="s">
        <v>603</v>
      </c>
      <c r="H8" s="12" t="s">
        <v>604</v>
      </c>
      <c r="I8" s="14"/>
      <c r="J8" s="12" t="s">
        <v>605</v>
      </c>
      <c r="K8" s="16" t="s">
        <v>132</v>
      </c>
      <c r="L8" s="17" t="s">
        <v>139</v>
      </c>
      <c r="M8" s="17" t="s">
        <v>154</v>
      </c>
      <c r="N8" s="21">
        <v>50000.0</v>
      </c>
      <c r="O8" s="20" t="s">
        <v>166</v>
      </c>
      <c r="P8" s="20" t="s">
        <v>170</v>
      </c>
      <c r="Q8" s="20" t="s">
        <v>172</v>
      </c>
      <c r="R8" s="20" t="s">
        <v>168</v>
      </c>
      <c r="S8" s="20" t="s">
        <v>170</v>
      </c>
      <c r="T8" s="21">
        <v>50000.0</v>
      </c>
      <c r="U8" s="21">
        <v>50000.0</v>
      </c>
      <c r="V8" s="21">
        <v>200000.0</v>
      </c>
      <c r="W8" s="15"/>
      <c r="X8" s="20">
        <v>8.5437099E7</v>
      </c>
      <c r="Y8" s="20" t="s">
        <v>186</v>
      </c>
      <c r="Z8" s="20" t="s">
        <v>188</v>
      </c>
      <c r="AA8" s="16" t="s">
        <v>190</v>
      </c>
      <c r="AB8" s="20" t="s">
        <v>193</v>
      </c>
      <c r="AC8" s="20" t="s">
        <v>195</v>
      </c>
      <c r="AD8" s="20" t="s">
        <v>198</v>
      </c>
      <c r="AE8" s="20" t="s">
        <v>206</v>
      </c>
      <c r="AF8" s="16" t="s">
        <v>214</v>
      </c>
      <c r="AG8" s="20" t="s">
        <v>221</v>
      </c>
      <c r="AH8" s="20" t="s">
        <v>227</v>
      </c>
      <c r="AI8" s="20" t="s">
        <v>233</v>
      </c>
      <c r="AJ8" s="20" t="s">
        <v>168</v>
      </c>
      <c r="AK8" s="16">
        <v>1.58</v>
      </c>
      <c r="AL8" s="20" t="s">
        <v>244</v>
      </c>
      <c r="AM8" s="16" t="s">
        <v>251</v>
      </c>
      <c r="AN8" s="16" t="s">
        <v>258</v>
      </c>
      <c r="AO8" s="16" t="s">
        <v>266</v>
      </c>
      <c r="AP8" s="16" t="s">
        <v>277</v>
      </c>
      <c r="AQ8" s="16" t="s">
        <v>285</v>
      </c>
      <c r="AR8" s="20" t="s">
        <v>290</v>
      </c>
      <c r="AS8" s="16" t="s">
        <v>292</v>
      </c>
      <c r="AT8" s="16" t="s">
        <v>296</v>
      </c>
      <c r="AU8" s="20" t="s">
        <v>302</v>
      </c>
      <c r="AV8" s="20" t="s">
        <v>310</v>
      </c>
      <c r="AW8" s="16" t="s">
        <v>322</v>
      </c>
      <c r="AX8" s="20" t="s">
        <v>329</v>
      </c>
      <c r="AY8" s="20" t="s">
        <v>334</v>
      </c>
      <c r="AZ8" s="16" t="s">
        <v>342</v>
      </c>
      <c r="BA8" s="16" t="s">
        <v>351</v>
      </c>
      <c r="BB8" s="16" t="s">
        <v>359</v>
      </c>
      <c r="BC8" s="24" t="s">
        <v>362</v>
      </c>
      <c r="BD8" s="16" t="s">
        <v>367</v>
      </c>
      <c r="BE8" s="20" t="s">
        <v>372</v>
      </c>
      <c r="BF8" s="20" t="s">
        <v>375</v>
      </c>
      <c r="BG8" s="20" t="s">
        <v>168</v>
      </c>
      <c r="BH8" s="20" t="s">
        <v>380</v>
      </c>
      <c r="BI8" s="20" t="s">
        <v>383</v>
      </c>
      <c r="BJ8" s="16" t="s">
        <v>386</v>
      </c>
      <c r="BK8" s="20" t="s">
        <v>186</v>
      </c>
      <c r="BL8" s="20" t="s">
        <v>389</v>
      </c>
      <c r="BM8" s="10" t="s">
        <v>168</v>
      </c>
      <c r="BN8" s="16" t="s">
        <v>168</v>
      </c>
      <c r="BO8" s="16" t="s">
        <v>168</v>
      </c>
      <c r="BP8" s="20" t="s">
        <v>186</v>
      </c>
      <c r="BQ8" s="20" t="s">
        <v>400</v>
      </c>
      <c r="BR8" s="21" t="s">
        <v>404</v>
      </c>
      <c r="BS8" s="21">
        <v>3000.0</v>
      </c>
      <c r="BT8" s="16" t="s">
        <v>186</v>
      </c>
      <c r="BU8" s="16" t="s">
        <v>168</v>
      </c>
      <c r="BV8" s="16" t="s">
        <v>409</v>
      </c>
      <c r="BW8" s="16" t="s">
        <v>414</v>
      </c>
      <c r="BX8" s="16" t="s">
        <v>418</v>
      </c>
      <c r="BY8" s="16" t="s">
        <v>422</v>
      </c>
      <c r="BZ8" s="20" t="s">
        <v>430</v>
      </c>
      <c r="CA8" s="16" t="s">
        <v>432</v>
      </c>
      <c r="CB8" s="16" t="s">
        <v>414</v>
      </c>
      <c r="CC8" s="16" t="s">
        <v>436</v>
      </c>
      <c r="CD8" s="16" t="s">
        <v>441</v>
      </c>
      <c r="CE8" s="16" t="s">
        <v>443</v>
      </c>
      <c r="CF8" s="16" t="s">
        <v>445</v>
      </c>
      <c r="CG8" s="16" t="s">
        <v>447</v>
      </c>
      <c r="CH8" s="20" t="s">
        <v>186</v>
      </c>
      <c r="CI8" s="20" t="s">
        <v>451</v>
      </c>
      <c r="CJ8" s="20" t="s">
        <v>457</v>
      </c>
      <c r="CK8" s="20" t="s">
        <v>464</v>
      </c>
      <c r="CL8" s="20" t="s">
        <v>466</v>
      </c>
      <c r="CM8" s="20" t="s">
        <v>186</v>
      </c>
      <c r="CN8" s="16" t="s">
        <v>168</v>
      </c>
      <c r="CO8" s="20" t="s">
        <v>186</v>
      </c>
      <c r="CP8" s="20" t="s">
        <v>186</v>
      </c>
      <c r="CQ8" s="20" t="s">
        <v>186</v>
      </c>
      <c r="CR8" s="20" t="s">
        <v>473</v>
      </c>
      <c r="CS8" s="20" t="s">
        <v>478</v>
      </c>
      <c r="CT8" s="20" t="s">
        <v>186</v>
      </c>
      <c r="CU8" s="20" t="s">
        <v>186</v>
      </c>
      <c r="CV8" s="20" t="s">
        <v>186</v>
      </c>
      <c r="CW8" s="20" t="s">
        <v>186</v>
      </c>
      <c r="CX8" s="20" t="s">
        <v>186</v>
      </c>
      <c r="CY8" s="16" t="s">
        <v>486</v>
      </c>
      <c r="CZ8" s="20">
        <v>1.0</v>
      </c>
      <c r="DA8" s="20">
        <v>2.0</v>
      </c>
      <c r="DB8" s="20">
        <v>2.0</v>
      </c>
      <c r="DC8" s="20" t="s">
        <v>168</v>
      </c>
      <c r="DD8" s="20" t="s">
        <v>495</v>
      </c>
      <c r="DE8" s="20">
        <v>1.0</v>
      </c>
      <c r="DF8" s="20">
        <v>1.0</v>
      </c>
      <c r="DG8" s="20">
        <v>1.0</v>
      </c>
      <c r="DH8" s="20">
        <v>1.0</v>
      </c>
      <c r="DI8" s="20">
        <v>1.0</v>
      </c>
      <c r="DJ8" s="20">
        <v>1.0</v>
      </c>
      <c r="DK8" s="20">
        <v>1.0</v>
      </c>
      <c r="DL8" s="17"/>
      <c r="DM8" s="17"/>
    </row>
    <row r="9" hidden="1">
      <c r="A9" s="5" t="s">
        <v>8</v>
      </c>
      <c r="B9" s="10" t="s">
        <v>24</v>
      </c>
      <c r="C9" s="12" t="s">
        <v>606</v>
      </c>
      <c r="D9" s="12" t="s">
        <v>607</v>
      </c>
      <c r="E9" s="12" t="s">
        <v>608</v>
      </c>
      <c r="F9" s="12" t="s">
        <v>609</v>
      </c>
      <c r="G9" s="13"/>
      <c r="H9" s="13"/>
      <c r="I9" s="14"/>
      <c r="J9" s="13"/>
      <c r="K9" s="15"/>
      <c r="L9" s="13"/>
      <c r="M9" s="17" t="s">
        <v>140</v>
      </c>
      <c r="N9" s="21">
        <v>30000.0</v>
      </c>
      <c r="O9" s="21">
        <v>30000.0</v>
      </c>
      <c r="P9" s="21">
        <v>10000.0</v>
      </c>
      <c r="Q9" s="20" t="s">
        <v>173</v>
      </c>
      <c r="R9" s="20" t="s">
        <v>168</v>
      </c>
      <c r="S9" s="20" t="s">
        <v>168</v>
      </c>
      <c r="T9" s="21">
        <v>30000.0</v>
      </c>
      <c r="U9" s="21">
        <v>30000.0</v>
      </c>
      <c r="V9" s="21">
        <v>500000.0</v>
      </c>
      <c r="W9" s="15"/>
      <c r="X9" s="20">
        <v>8.5437099E7</v>
      </c>
      <c r="Y9" s="20" t="s">
        <v>186</v>
      </c>
      <c r="Z9" s="20" t="s">
        <v>188</v>
      </c>
      <c r="AA9" s="16" t="s">
        <v>190</v>
      </c>
      <c r="AB9" s="20" t="s">
        <v>193</v>
      </c>
      <c r="AC9" s="20" t="s">
        <v>195</v>
      </c>
      <c r="AD9" s="20" t="s">
        <v>198</v>
      </c>
      <c r="AE9" s="20" t="s">
        <v>207</v>
      </c>
      <c r="AF9" s="16" t="s">
        <v>214</v>
      </c>
      <c r="AG9" s="20" t="s">
        <v>222</v>
      </c>
      <c r="AH9" s="20" t="s">
        <v>228</v>
      </c>
      <c r="AI9" s="20" t="s">
        <v>231</v>
      </c>
      <c r="AJ9" s="20" t="s">
        <v>236</v>
      </c>
      <c r="AK9" s="16">
        <v>1.41</v>
      </c>
      <c r="AL9" s="20" t="s">
        <v>243</v>
      </c>
      <c r="AM9" s="16" t="s">
        <v>251</v>
      </c>
      <c r="AN9" s="16" t="s">
        <v>259</v>
      </c>
      <c r="AO9" s="16" t="s">
        <v>266</v>
      </c>
      <c r="AP9" s="16" t="s">
        <v>278</v>
      </c>
      <c r="AQ9" s="20" t="s">
        <v>286</v>
      </c>
      <c r="AR9" s="20" t="s">
        <v>290</v>
      </c>
      <c r="AS9" s="20" t="s">
        <v>292</v>
      </c>
      <c r="AT9" s="20" t="s">
        <v>296</v>
      </c>
      <c r="AU9" s="20" t="s">
        <v>303</v>
      </c>
      <c r="AV9" s="20" t="s">
        <v>312</v>
      </c>
      <c r="AW9" s="16" t="s">
        <v>321</v>
      </c>
      <c r="AX9" s="16" t="s">
        <v>330</v>
      </c>
      <c r="AY9" s="20" t="s">
        <v>334</v>
      </c>
      <c r="AZ9" s="16" t="s">
        <v>343</v>
      </c>
      <c r="BA9" s="16" t="s">
        <v>352</v>
      </c>
      <c r="BB9" s="16" t="s">
        <v>359</v>
      </c>
      <c r="BC9" s="24" t="s">
        <v>362</v>
      </c>
      <c r="BD9" s="16" t="s">
        <v>368</v>
      </c>
      <c r="BE9" s="20" t="s">
        <v>372</v>
      </c>
      <c r="BF9" s="20" t="s">
        <v>375</v>
      </c>
      <c r="BG9" s="16" t="s">
        <v>378</v>
      </c>
      <c r="BH9" s="20" t="s">
        <v>191</v>
      </c>
      <c r="BI9" s="20" t="s">
        <v>383</v>
      </c>
      <c r="BJ9" s="16" t="s">
        <v>386</v>
      </c>
      <c r="BK9" s="20" t="s">
        <v>186</v>
      </c>
      <c r="BL9" s="20" t="s">
        <v>168</v>
      </c>
      <c r="BM9" s="20" t="s">
        <v>392</v>
      </c>
      <c r="BN9" s="25" t="s">
        <v>394</v>
      </c>
      <c r="BO9" s="20" t="s">
        <v>186</v>
      </c>
      <c r="BP9" s="20" t="s">
        <v>186</v>
      </c>
      <c r="BQ9" s="20" t="s">
        <v>400</v>
      </c>
      <c r="BR9" s="21" t="s">
        <v>404</v>
      </c>
      <c r="BS9" s="21">
        <v>30000.0</v>
      </c>
      <c r="BT9" s="16" t="s">
        <v>186</v>
      </c>
      <c r="BU9" s="16" t="s">
        <v>168</v>
      </c>
      <c r="BV9" s="16" t="s">
        <v>409</v>
      </c>
      <c r="BW9" s="16" t="s">
        <v>414</v>
      </c>
      <c r="BX9" s="16" t="s">
        <v>418</v>
      </c>
      <c r="BY9" s="20" t="s">
        <v>425</v>
      </c>
      <c r="BZ9" s="20" t="s">
        <v>430</v>
      </c>
      <c r="CA9" s="16" t="s">
        <v>432</v>
      </c>
      <c r="CB9" s="16" t="s">
        <v>414</v>
      </c>
      <c r="CC9" s="16" t="s">
        <v>436</v>
      </c>
      <c r="CD9" s="16" t="s">
        <v>441</v>
      </c>
      <c r="CE9" s="16" t="s">
        <v>443</v>
      </c>
      <c r="CF9" s="16" t="s">
        <v>445</v>
      </c>
      <c r="CG9" s="16" t="s">
        <v>447</v>
      </c>
      <c r="CH9" s="20" t="s">
        <v>186</v>
      </c>
      <c r="CI9" s="20" t="s">
        <v>452</v>
      </c>
      <c r="CJ9" s="20" t="s">
        <v>458</v>
      </c>
      <c r="CK9" s="20" t="s">
        <v>464</v>
      </c>
      <c r="CL9" s="20" t="s">
        <v>466</v>
      </c>
      <c r="CM9" s="20" t="s">
        <v>186</v>
      </c>
      <c r="CN9" s="20" t="s">
        <v>186</v>
      </c>
      <c r="CO9" s="20" t="s">
        <v>186</v>
      </c>
      <c r="CP9" s="20" t="s">
        <v>186</v>
      </c>
      <c r="CQ9" s="20" t="s">
        <v>186</v>
      </c>
      <c r="CR9" s="20" t="s">
        <v>475</v>
      </c>
      <c r="CS9" s="20" t="s">
        <v>478</v>
      </c>
      <c r="CT9" s="20" t="s">
        <v>186</v>
      </c>
      <c r="CU9" s="20" t="s">
        <v>186</v>
      </c>
      <c r="CV9" s="20" t="s">
        <v>186</v>
      </c>
      <c r="CW9" s="20" t="s">
        <v>186</v>
      </c>
      <c r="CX9" s="20" t="s">
        <v>186</v>
      </c>
      <c r="CY9" s="16" t="s">
        <v>486</v>
      </c>
      <c r="CZ9" s="20">
        <v>1.0</v>
      </c>
      <c r="DA9" s="20" t="s">
        <v>168</v>
      </c>
      <c r="DB9" s="20">
        <v>1.0</v>
      </c>
      <c r="DC9" s="20">
        <v>1.0</v>
      </c>
      <c r="DD9" s="20" t="s">
        <v>495</v>
      </c>
      <c r="DE9" s="20" t="s">
        <v>168</v>
      </c>
      <c r="DF9" s="20">
        <v>1.0</v>
      </c>
      <c r="DG9" s="20">
        <v>1.0</v>
      </c>
      <c r="DH9" s="20">
        <v>1.0</v>
      </c>
      <c r="DI9" s="20">
        <v>1.0</v>
      </c>
      <c r="DJ9" s="20">
        <v>1.0</v>
      </c>
      <c r="DK9" s="20">
        <v>1.0</v>
      </c>
      <c r="DL9" s="17"/>
      <c r="DM9" s="17"/>
    </row>
    <row r="10" hidden="1">
      <c r="A10" s="5" t="s">
        <v>9</v>
      </c>
      <c r="B10" s="10" t="s">
        <v>20</v>
      </c>
      <c r="C10" s="12" t="s">
        <v>610</v>
      </c>
      <c r="D10" s="12" t="s">
        <v>611</v>
      </c>
      <c r="E10" s="12" t="s">
        <v>612</v>
      </c>
      <c r="F10" s="12" t="s">
        <v>613</v>
      </c>
      <c r="G10" s="12" t="s">
        <v>614</v>
      </c>
      <c r="H10" s="12" t="s">
        <v>615</v>
      </c>
      <c r="I10" s="14"/>
      <c r="J10" s="12" t="s">
        <v>616</v>
      </c>
      <c r="K10" s="15"/>
      <c r="L10" s="17" t="s">
        <v>140</v>
      </c>
      <c r="M10" s="17" t="s">
        <v>140</v>
      </c>
      <c r="N10" s="21">
        <v>30000.0</v>
      </c>
      <c r="O10" s="20" t="s">
        <v>167</v>
      </c>
      <c r="P10" s="20" t="s">
        <v>168</v>
      </c>
      <c r="Q10" s="20" t="s">
        <v>173</v>
      </c>
      <c r="R10" s="21">
        <v>100000.0</v>
      </c>
      <c r="S10" s="20" t="s">
        <v>168</v>
      </c>
      <c r="T10" s="21">
        <v>30000.0</v>
      </c>
      <c r="U10" s="21">
        <v>30000.0</v>
      </c>
      <c r="V10" s="21">
        <v>500000.0</v>
      </c>
      <c r="W10" s="15"/>
      <c r="X10" s="20">
        <v>8.5437099E7</v>
      </c>
      <c r="Y10" s="20" t="s">
        <v>186</v>
      </c>
      <c r="Z10" s="20" t="s">
        <v>188</v>
      </c>
      <c r="AA10" s="16" t="s">
        <v>190</v>
      </c>
      <c r="AB10" s="20" t="s">
        <v>193</v>
      </c>
      <c r="AC10" s="20" t="s">
        <v>195</v>
      </c>
      <c r="AD10" s="20" t="s">
        <v>198</v>
      </c>
      <c r="AE10" s="20" t="s">
        <v>207</v>
      </c>
      <c r="AF10" s="16" t="s">
        <v>214</v>
      </c>
      <c r="AG10" s="20" t="s">
        <v>222</v>
      </c>
      <c r="AH10" s="20" t="s">
        <v>228</v>
      </c>
      <c r="AI10" s="20" t="s">
        <v>231</v>
      </c>
      <c r="AJ10" s="20" t="s">
        <v>236</v>
      </c>
      <c r="AK10" s="16">
        <v>1.41</v>
      </c>
      <c r="AL10" s="20" t="s">
        <v>243</v>
      </c>
      <c r="AM10" s="16" t="s">
        <v>251</v>
      </c>
      <c r="AN10" s="16" t="s">
        <v>260</v>
      </c>
      <c r="AO10" s="16" t="s">
        <v>266</v>
      </c>
      <c r="AP10" s="16" t="s">
        <v>278</v>
      </c>
      <c r="AQ10" s="20" t="s">
        <v>286</v>
      </c>
      <c r="AR10" s="20" t="s">
        <v>290</v>
      </c>
      <c r="AS10" s="20" t="s">
        <v>292</v>
      </c>
      <c r="AT10" s="20" t="s">
        <v>296</v>
      </c>
      <c r="AU10" s="20" t="s">
        <v>303</v>
      </c>
      <c r="AV10" s="20" t="s">
        <v>312</v>
      </c>
      <c r="AW10" s="16" t="s">
        <v>321</v>
      </c>
      <c r="AX10" s="16" t="s">
        <v>330</v>
      </c>
      <c r="AY10" s="20" t="s">
        <v>334</v>
      </c>
      <c r="AZ10" s="16" t="s">
        <v>343</v>
      </c>
      <c r="BA10" s="16" t="s">
        <v>352</v>
      </c>
      <c r="BB10" s="16" t="s">
        <v>168</v>
      </c>
      <c r="BC10" s="16" t="s">
        <v>168</v>
      </c>
      <c r="BD10" s="25" t="s">
        <v>369</v>
      </c>
      <c r="BE10" s="20" t="s">
        <v>372</v>
      </c>
      <c r="BF10" s="20" t="s">
        <v>375</v>
      </c>
      <c r="BG10" s="16" t="s">
        <v>378</v>
      </c>
      <c r="BH10" s="20" t="s">
        <v>191</v>
      </c>
      <c r="BI10" s="20" t="s">
        <v>383</v>
      </c>
      <c r="BJ10" s="16" t="s">
        <v>386</v>
      </c>
      <c r="BK10" s="20" t="s">
        <v>186</v>
      </c>
      <c r="BL10" s="20" t="s">
        <v>168</v>
      </c>
      <c r="BM10" s="20" t="s">
        <v>392</v>
      </c>
      <c r="BN10" s="25" t="s">
        <v>394</v>
      </c>
      <c r="BO10" s="20" t="s">
        <v>186</v>
      </c>
      <c r="BP10" s="20" t="s">
        <v>186</v>
      </c>
      <c r="BQ10" s="20" t="s">
        <v>400</v>
      </c>
      <c r="BR10" s="21" t="s">
        <v>404</v>
      </c>
      <c r="BS10" s="21">
        <v>30000.0</v>
      </c>
      <c r="BT10" s="16" t="s">
        <v>186</v>
      </c>
      <c r="BU10" s="16" t="s">
        <v>168</v>
      </c>
      <c r="BV10" s="16" t="s">
        <v>409</v>
      </c>
      <c r="BW10" s="16" t="s">
        <v>414</v>
      </c>
      <c r="BX10" s="16" t="s">
        <v>418</v>
      </c>
      <c r="BY10" s="20" t="s">
        <v>425</v>
      </c>
      <c r="BZ10" s="20" t="s">
        <v>430</v>
      </c>
      <c r="CA10" s="16" t="s">
        <v>168</v>
      </c>
      <c r="CB10" s="16" t="s">
        <v>168</v>
      </c>
      <c r="CC10" s="16" t="s">
        <v>168</v>
      </c>
      <c r="CD10" s="16" t="s">
        <v>441</v>
      </c>
      <c r="CE10" s="16" t="s">
        <v>443</v>
      </c>
      <c r="CF10" s="16" t="s">
        <v>445</v>
      </c>
      <c r="CG10" s="16" t="s">
        <v>447</v>
      </c>
      <c r="CH10" s="20" t="s">
        <v>186</v>
      </c>
      <c r="CI10" s="20" t="s">
        <v>452</v>
      </c>
      <c r="CJ10" s="20" t="s">
        <v>459</v>
      </c>
      <c r="CK10" s="20" t="s">
        <v>464</v>
      </c>
      <c r="CL10" s="20" t="s">
        <v>466</v>
      </c>
      <c r="CM10" s="20" t="s">
        <v>186</v>
      </c>
      <c r="CN10" s="20" t="s">
        <v>186</v>
      </c>
      <c r="CO10" s="20" t="s">
        <v>186</v>
      </c>
      <c r="CP10" s="20" t="s">
        <v>186</v>
      </c>
      <c r="CQ10" s="20" t="s">
        <v>186</v>
      </c>
      <c r="CR10" s="20" t="s">
        <v>475</v>
      </c>
      <c r="CS10" s="20" t="s">
        <v>478</v>
      </c>
      <c r="CT10" s="20" t="s">
        <v>186</v>
      </c>
      <c r="CU10" s="20" t="s">
        <v>186</v>
      </c>
      <c r="CV10" s="20" t="s">
        <v>186</v>
      </c>
      <c r="CW10" s="20" t="s">
        <v>186</v>
      </c>
      <c r="CX10" s="20" t="s">
        <v>186</v>
      </c>
      <c r="CY10" s="16" t="s">
        <v>486</v>
      </c>
      <c r="CZ10" s="20">
        <v>1.0</v>
      </c>
      <c r="DA10" s="20" t="s">
        <v>168</v>
      </c>
      <c r="DB10" s="20">
        <v>1.0</v>
      </c>
      <c r="DC10" s="20">
        <v>1.0</v>
      </c>
      <c r="DD10" s="20" t="s">
        <v>495</v>
      </c>
      <c r="DE10" s="20" t="s">
        <v>168</v>
      </c>
      <c r="DF10" s="20">
        <v>1.0</v>
      </c>
      <c r="DG10" s="20">
        <v>1.0</v>
      </c>
      <c r="DH10" s="20">
        <v>1.0</v>
      </c>
      <c r="DI10" s="20">
        <v>1.0</v>
      </c>
      <c r="DJ10" s="20">
        <v>1.0</v>
      </c>
      <c r="DK10" s="20">
        <v>1.0</v>
      </c>
      <c r="DL10" s="17"/>
      <c r="DM10" s="17"/>
    </row>
    <row r="11" hidden="1">
      <c r="A11" s="5" t="s">
        <v>10</v>
      </c>
      <c r="B11" s="10" t="s">
        <v>24</v>
      </c>
      <c r="C11" s="12" t="s">
        <v>617</v>
      </c>
      <c r="D11" s="12" t="s">
        <v>618</v>
      </c>
      <c r="E11" s="12" t="s">
        <v>619</v>
      </c>
      <c r="F11" s="12" t="s">
        <v>620</v>
      </c>
      <c r="G11" s="13"/>
      <c r="H11" s="13"/>
      <c r="I11" s="14"/>
      <c r="J11" s="13"/>
      <c r="K11" s="15"/>
      <c r="L11" s="13"/>
      <c r="M11" s="18" t="s">
        <v>621</v>
      </c>
      <c r="N11" s="21">
        <v>30000.0</v>
      </c>
      <c r="O11" s="20" t="s">
        <v>168</v>
      </c>
      <c r="P11" s="20" t="s">
        <v>168</v>
      </c>
      <c r="Q11" s="20" t="s">
        <v>173</v>
      </c>
      <c r="R11" s="20" t="s">
        <v>173</v>
      </c>
      <c r="S11" s="21">
        <v>100000.0</v>
      </c>
      <c r="T11" s="14"/>
      <c r="U11" s="14"/>
      <c r="V11" s="21">
        <v>500000.0</v>
      </c>
      <c r="W11" s="15"/>
      <c r="X11" s="20">
        <v>8.5437099E7</v>
      </c>
      <c r="Y11" s="20" t="s">
        <v>186</v>
      </c>
      <c r="Z11" s="20" t="s">
        <v>188</v>
      </c>
      <c r="AA11" s="16" t="s">
        <v>190</v>
      </c>
      <c r="AB11" s="20" t="s">
        <v>193</v>
      </c>
      <c r="AC11" s="20" t="s">
        <v>195</v>
      </c>
      <c r="AD11" s="20" t="s">
        <v>198</v>
      </c>
      <c r="AE11" s="20" t="s">
        <v>207</v>
      </c>
      <c r="AF11" s="16" t="s">
        <v>214</v>
      </c>
      <c r="AG11" s="20" t="s">
        <v>222</v>
      </c>
      <c r="AH11" s="20" t="s">
        <v>228</v>
      </c>
      <c r="AI11" s="20" t="s">
        <v>231</v>
      </c>
      <c r="AJ11" s="20" t="s">
        <v>236</v>
      </c>
      <c r="AK11" s="16">
        <v>1.41</v>
      </c>
      <c r="AL11" s="20" t="s">
        <v>243</v>
      </c>
      <c r="AM11" s="16" t="s">
        <v>251</v>
      </c>
      <c r="AN11" s="16" t="s">
        <v>259</v>
      </c>
      <c r="AO11" s="16" t="s">
        <v>266</v>
      </c>
      <c r="AP11" s="16" t="s">
        <v>278</v>
      </c>
      <c r="AQ11" s="20" t="s">
        <v>286</v>
      </c>
      <c r="AR11" s="20" t="s">
        <v>290</v>
      </c>
      <c r="AS11" s="20" t="s">
        <v>292</v>
      </c>
      <c r="AT11" s="20" t="s">
        <v>296</v>
      </c>
      <c r="AU11" s="20" t="s">
        <v>303</v>
      </c>
      <c r="AV11" s="20" t="s">
        <v>312</v>
      </c>
      <c r="AW11" s="16" t="s">
        <v>321</v>
      </c>
      <c r="AX11" s="16" t="s">
        <v>330</v>
      </c>
      <c r="AY11" s="20" t="s">
        <v>334</v>
      </c>
      <c r="AZ11" s="16" t="s">
        <v>343</v>
      </c>
      <c r="BA11" s="16" t="s">
        <v>352</v>
      </c>
      <c r="BB11" s="16" t="s">
        <v>168</v>
      </c>
      <c r="BC11" s="16" t="s">
        <v>168</v>
      </c>
      <c r="BD11" s="25" t="s">
        <v>369</v>
      </c>
      <c r="BE11" s="20" t="s">
        <v>372</v>
      </c>
      <c r="BF11" s="20" t="s">
        <v>375</v>
      </c>
      <c r="BG11" s="16" t="s">
        <v>378</v>
      </c>
      <c r="BH11" s="20" t="s">
        <v>191</v>
      </c>
      <c r="BI11" s="20" t="s">
        <v>383</v>
      </c>
      <c r="BJ11" s="16" t="s">
        <v>386</v>
      </c>
      <c r="BK11" s="20" t="s">
        <v>186</v>
      </c>
      <c r="BL11" s="20" t="s">
        <v>168</v>
      </c>
      <c r="BM11" s="20" t="s">
        <v>392</v>
      </c>
      <c r="BN11" s="25" t="s">
        <v>394</v>
      </c>
      <c r="BO11" s="20" t="s">
        <v>186</v>
      </c>
      <c r="BP11" s="20" t="s">
        <v>186</v>
      </c>
      <c r="BQ11" s="20" t="s">
        <v>400</v>
      </c>
      <c r="BR11" s="21" t="s">
        <v>404</v>
      </c>
      <c r="BS11" s="21">
        <v>30000.0</v>
      </c>
      <c r="BT11" s="16" t="s">
        <v>186</v>
      </c>
      <c r="BU11" s="16" t="s">
        <v>168</v>
      </c>
      <c r="BV11" s="16" t="s">
        <v>409</v>
      </c>
      <c r="BW11" s="16" t="s">
        <v>414</v>
      </c>
      <c r="BX11" s="16" t="s">
        <v>418</v>
      </c>
      <c r="BY11" s="20" t="s">
        <v>425</v>
      </c>
      <c r="BZ11" s="20" t="s">
        <v>430</v>
      </c>
      <c r="CA11" s="16" t="s">
        <v>168</v>
      </c>
      <c r="CB11" s="16" t="s">
        <v>168</v>
      </c>
      <c r="CC11" s="16" t="s">
        <v>168</v>
      </c>
      <c r="CD11" s="16" t="s">
        <v>441</v>
      </c>
      <c r="CE11" s="16" t="s">
        <v>443</v>
      </c>
      <c r="CF11" s="16" t="s">
        <v>445</v>
      </c>
      <c r="CG11" s="16" t="s">
        <v>447</v>
      </c>
      <c r="CH11" s="20" t="s">
        <v>186</v>
      </c>
      <c r="CI11" s="20" t="s">
        <v>452</v>
      </c>
      <c r="CJ11" s="20" t="s">
        <v>459</v>
      </c>
      <c r="CK11" s="20" t="s">
        <v>464</v>
      </c>
      <c r="CL11" s="20" t="s">
        <v>466</v>
      </c>
      <c r="CM11" s="20" t="s">
        <v>186</v>
      </c>
      <c r="CN11" s="20" t="s">
        <v>186</v>
      </c>
      <c r="CO11" s="20" t="s">
        <v>186</v>
      </c>
      <c r="CP11" s="20" t="s">
        <v>186</v>
      </c>
      <c r="CQ11" s="20" t="s">
        <v>186</v>
      </c>
      <c r="CR11" s="20" t="s">
        <v>475</v>
      </c>
      <c r="CS11" s="20" t="s">
        <v>478</v>
      </c>
      <c r="CT11" s="20" t="s">
        <v>186</v>
      </c>
      <c r="CU11" s="20" t="s">
        <v>186</v>
      </c>
      <c r="CV11" s="20" t="s">
        <v>186</v>
      </c>
      <c r="CW11" s="20" t="s">
        <v>186</v>
      </c>
      <c r="CX11" s="20" t="s">
        <v>186</v>
      </c>
      <c r="CY11" s="16" t="s">
        <v>486</v>
      </c>
      <c r="CZ11" s="20">
        <v>1.0</v>
      </c>
      <c r="DA11" s="20" t="s">
        <v>168</v>
      </c>
      <c r="DB11" s="20">
        <v>1.0</v>
      </c>
      <c r="DC11" s="20">
        <v>1.0</v>
      </c>
      <c r="DD11" s="20" t="s">
        <v>495</v>
      </c>
      <c r="DE11" s="20" t="s">
        <v>168</v>
      </c>
      <c r="DF11" s="20">
        <v>1.0</v>
      </c>
      <c r="DG11" s="20">
        <v>1.0</v>
      </c>
      <c r="DH11" s="20">
        <v>1.0</v>
      </c>
      <c r="DI11" s="20">
        <v>1.0</v>
      </c>
      <c r="DJ11" s="20">
        <v>1.0</v>
      </c>
      <c r="DK11" s="20">
        <v>1.0</v>
      </c>
      <c r="DL11" s="18"/>
      <c r="DM11" s="18"/>
    </row>
    <row r="12">
      <c r="A12" s="5" t="s">
        <v>11</v>
      </c>
      <c r="B12" s="10" t="s">
        <v>20</v>
      </c>
      <c r="C12" s="12" t="s">
        <v>622</v>
      </c>
      <c r="D12" s="12" t="s">
        <v>623</v>
      </c>
      <c r="E12" s="12" t="s">
        <v>624</v>
      </c>
      <c r="F12" s="12" t="s">
        <v>625</v>
      </c>
      <c r="G12" s="12" t="s">
        <v>626</v>
      </c>
      <c r="H12" s="13"/>
      <c r="I12" s="14"/>
      <c r="J12" s="12" t="s">
        <v>627</v>
      </c>
      <c r="K12" s="15"/>
      <c r="L12" s="17" t="s">
        <v>141</v>
      </c>
      <c r="M12" s="17" t="s">
        <v>156</v>
      </c>
      <c r="N12" s="21">
        <v>50000.0</v>
      </c>
      <c r="O12" s="20" t="s">
        <v>166</v>
      </c>
      <c r="P12" s="20" t="s">
        <v>168</v>
      </c>
      <c r="Q12" s="21">
        <v>5000.0</v>
      </c>
      <c r="R12" s="21">
        <v>50000.0</v>
      </c>
      <c r="S12" s="21">
        <v>50000.0</v>
      </c>
      <c r="T12" s="21">
        <v>50000.0</v>
      </c>
      <c r="U12" s="21">
        <v>50000.0</v>
      </c>
      <c r="V12" s="20" t="s">
        <v>181</v>
      </c>
      <c r="W12" s="15"/>
      <c r="X12" s="20">
        <v>8.5437099E7</v>
      </c>
      <c r="Y12" s="20" t="s">
        <v>186</v>
      </c>
      <c r="Z12" s="20" t="s">
        <v>188</v>
      </c>
      <c r="AA12" s="16" t="s">
        <v>190</v>
      </c>
      <c r="AB12" s="20" t="s">
        <v>193</v>
      </c>
      <c r="AC12" s="20" t="s">
        <v>195</v>
      </c>
      <c r="AD12" s="20" t="s">
        <v>198</v>
      </c>
      <c r="AE12" s="20" t="s">
        <v>208</v>
      </c>
      <c r="AF12" s="16" t="s">
        <v>214</v>
      </c>
      <c r="AG12" s="20" t="s">
        <v>223</v>
      </c>
      <c r="AH12" s="20" t="s">
        <v>228</v>
      </c>
      <c r="AI12" s="20" t="s">
        <v>234</v>
      </c>
      <c r="AJ12" s="20" t="s">
        <v>237</v>
      </c>
      <c r="AK12" s="16">
        <v>2.0</v>
      </c>
      <c r="AL12" s="20" t="s">
        <v>243</v>
      </c>
      <c r="AM12" s="16" t="s">
        <v>249</v>
      </c>
      <c r="AN12" s="16" t="s">
        <v>259</v>
      </c>
      <c r="AO12" s="20" t="s">
        <v>268</v>
      </c>
      <c r="AP12" s="16" t="s">
        <v>279</v>
      </c>
      <c r="AQ12" s="20" t="s">
        <v>284</v>
      </c>
      <c r="AR12" s="20" t="s">
        <v>290</v>
      </c>
      <c r="AS12" s="20" t="s">
        <v>292</v>
      </c>
      <c r="AT12" s="20" t="s">
        <v>296</v>
      </c>
      <c r="AU12" s="20" t="s">
        <v>304</v>
      </c>
      <c r="AV12" s="20" t="s">
        <v>313</v>
      </c>
      <c r="AW12" s="16" t="s">
        <v>323</v>
      </c>
      <c r="AX12" s="20" t="s">
        <v>329</v>
      </c>
      <c r="AY12" s="20" t="s">
        <v>334</v>
      </c>
      <c r="AZ12" s="16" t="s">
        <v>344</v>
      </c>
      <c r="BA12" s="16" t="s">
        <v>353</v>
      </c>
      <c r="BB12" s="16" t="s">
        <v>168</v>
      </c>
      <c r="BC12" s="16" t="s">
        <v>168</v>
      </c>
      <c r="BD12" s="16" t="s">
        <v>367</v>
      </c>
      <c r="BE12" s="20" t="s">
        <v>372</v>
      </c>
      <c r="BF12" s="20" t="s">
        <v>375</v>
      </c>
      <c r="BG12" s="16" t="s">
        <v>191</v>
      </c>
      <c r="BH12" s="25" t="s">
        <v>381</v>
      </c>
      <c r="BI12" s="20" t="s">
        <v>383</v>
      </c>
      <c r="BJ12" s="16" t="s">
        <v>386</v>
      </c>
      <c r="BK12" s="20" t="s">
        <v>186</v>
      </c>
      <c r="BL12" s="20" t="s">
        <v>168</v>
      </c>
      <c r="BM12" s="20" t="s">
        <v>392</v>
      </c>
      <c r="BN12" s="25" t="s">
        <v>394</v>
      </c>
      <c r="BO12" s="20" t="s">
        <v>186</v>
      </c>
      <c r="BP12" s="20" t="s">
        <v>186</v>
      </c>
      <c r="BQ12" s="20" t="s">
        <v>400</v>
      </c>
      <c r="BR12" s="21" t="s">
        <v>404</v>
      </c>
      <c r="BS12" s="21">
        <v>50000.0</v>
      </c>
      <c r="BT12" s="16" t="s">
        <v>186</v>
      </c>
      <c r="BU12" s="16" t="s">
        <v>186</v>
      </c>
      <c r="BV12" s="16" t="s">
        <v>409</v>
      </c>
      <c r="BW12" s="16" t="s">
        <v>414</v>
      </c>
      <c r="BX12" s="16" t="s">
        <v>418</v>
      </c>
      <c r="BY12" s="20" t="s">
        <v>426</v>
      </c>
      <c r="BZ12" s="20" t="s">
        <v>430</v>
      </c>
      <c r="CA12" s="20" t="s">
        <v>168</v>
      </c>
      <c r="CB12" s="20" t="s">
        <v>168</v>
      </c>
      <c r="CC12" s="20" t="s">
        <v>168</v>
      </c>
      <c r="CD12" s="16" t="s">
        <v>441</v>
      </c>
      <c r="CE12" s="16" t="s">
        <v>443</v>
      </c>
      <c r="CF12" s="16" t="s">
        <v>445</v>
      </c>
      <c r="CG12" s="16" t="s">
        <v>447</v>
      </c>
      <c r="CH12" s="20" t="s">
        <v>186</v>
      </c>
      <c r="CI12" s="20" t="s">
        <v>451</v>
      </c>
      <c r="CJ12" s="20" t="s">
        <v>455</v>
      </c>
      <c r="CK12" s="20" t="s">
        <v>464</v>
      </c>
      <c r="CL12" s="20" t="s">
        <v>466</v>
      </c>
      <c r="CM12" s="20" t="s">
        <v>186</v>
      </c>
      <c r="CN12" s="20" t="s">
        <v>186</v>
      </c>
      <c r="CO12" s="20" t="s">
        <v>186</v>
      </c>
      <c r="CP12" s="20" t="s">
        <v>186</v>
      </c>
      <c r="CQ12" s="20" t="s">
        <v>186</v>
      </c>
      <c r="CR12" s="20" t="s">
        <v>476</v>
      </c>
      <c r="CS12" s="20" t="s">
        <v>478</v>
      </c>
      <c r="CT12" s="20" t="s">
        <v>186</v>
      </c>
      <c r="CU12" s="20" t="s">
        <v>186</v>
      </c>
      <c r="CV12" s="20" t="s">
        <v>186</v>
      </c>
      <c r="CW12" s="20" t="s">
        <v>186</v>
      </c>
      <c r="CX12" s="20" t="s">
        <v>186</v>
      </c>
      <c r="CY12" s="16" t="s">
        <v>486</v>
      </c>
      <c r="CZ12" s="20">
        <v>1.0</v>
      </c>
      <c r="DA12" s="20">
        <v>1.0</v>
      </c>
      <c r="DB12" s="20">
        <v>3.0</v>
      </c>
      <c r="DC12" s="20" t="s">
        <v>168</v>
      </c>
      <c r="DD12" s="20" t="s">
        <v>495</v>
      </c>
      <c r="DE12" s="20" t="s">
        <v>168</v>
      </c>
      <c r="DF12" s="20">
        <v>1.0</v>
      </c>
      <c r="DG12" s="20">
        <v>1.0</v>
      </c>
      <c r="DH12" s="20">
        <v>1.0</v>
      </c>
      <c r="DI12" s="20">
        <v>1.0</v>
      </c>
      <c r="DJ12" s="20">
        <v>1.0</v>
      </c>
      <c r="DK12" s="20">
        <v>1.0</v>
      </c>
      <c r="DL12" s="17"/>
      <c r="DM12" s="17"/>
    </row>
    <row r="13">
      <c r="A13" s="5" t="s">
        <v>12</v>
      </c>
      <c r="B13" s="10" t="s">
        <v>20</v>
      </c>
      <c r="C13" s="12" t="s">
        <v>628</v>
      </c>
      <c r="D13" s="12" t="s">
        <v>629</v>
      </c>
      <c r="E13" s="13"/>
      <c r="F13" s="13"/>
      <c r="G13" s="12" t="s">
        <v>630</v>
      </c>
      <c r="H13" s="12" t="s">
        <v>631</v>
      </c>
      <c r="I13" s="12" t="s">
        <v>632</v>
      </c>
      <c r="J13" s="12" t="s">
        <v>633</v>
      </c>
      <c r="K13" s="15"/>
      <c r="L13" s="17" t="s">
        <v>142</v>
      </c>
      <c r="M13" s="19" t="s">
        <v>157</v>
      </c>
      <c r="N13" s="21">
        <v>50000.0</v>
      </c>
      <c r="O13" s="20" t="s">
        <v>167</v>
      </c>
      <c r="P13" s="20" t="s">
        <v>168</v>
      </c>
      <c r="Q13" s="20" t="s">
        <v>168</v>
      </c>
      <c r="R13" s="20" t="s">
        <v>168</v>
      </c>
      <c r="S13" s="21">
        <v>50000.0</v>
      </c>
      <c r="T13" s="21">
        <v>50000.0</v>
      </c>
      <c r="U13" s="21">
        <v>50000.0</v>
      </c>
      <c r="V13" s="20" t="s">
        <v>181</v>
      </c>
      <c r="W13" s="15"/>
      <c r="X13" s="20">
        <v>8.5437099E7</v>
      </c>
      <c r="Y13" s="20" t="s">
        <v>186</v>
      </c>
      <c r="Z13" s="20" t="s">
        <v>188</v>
      </c>
      <c r="AA13" s="16" t="s">
        <v>190</v>
      </c>
      <c r="AB13" s="20" t="s">
        <v>193</v>
      </c>
      <c r="AC13" s="20" t="s">
        <v>195</v>
      </c>
      <c r="AD13" s="20" t="s">
        <v>199</v>
      </c>
      <c r="AE13" s="20" t="s">
        <v>208</v>
      </c>
      <c r="AF13" s="16" t="s">
        <v>214</v>
      </c>
      <c r="AG13" s="20" t="s">
        <v>223</v>
      </c>
      <c r="AH13" s="20" t="s">
        <v>228</v>
      </c>
      <c r="AI13" s="20" t="s">
        <v>234</v>
      </c>
      <c r="AJ13" s="20" t="s">
        <v>238</v>
      </c>
      <c r="AK13" s="16">
        <v>2.0</v>
      </c>
      <c r="AL13" s="20" t="s">
        <v>245</v>
      </c>
      <c r="AM13" s="16" t="s">
        <v>132</v>
      </c>
      <c r="AN13" s="16" t="s">
        <v>261</v>
      </c>
      <c r="AO13" s="20" t="s">
        <v>269</v>
      </c>
      <c r="AP13" s="16" t="s">
        <v>280</v>
      </c>
      <c r="AQ13" s="20" t="s">
        <v>287</v>
      </c>
      <c r="AR13" s="20" t="s">
        <v>290</v>
      </c>
      <c r="AS13" s="16" t="s">
        <v>292</v>
      </c>
      <c r="AT13" s="20" t="s">
        <v>296</v>
      </c>
      <c r="AU13" s="20" t="s">
        <v>304</v>
      </c>
      <c r="AV13" s="20" t="s">
        <v>310</v>
      </c>
      <c r="AW13" s="16" t="s">
        <v>323</v>
      </c>
      <c r="AX13" s="20" t="s">
        <v>329</v>
      </c>
      <c r="AY13" s="20" t="s">
        <v>334</v>
      </c>
      <c r="AZ13" s="16" t="s">
        <v>344</v>
      </c>
      <c r="BA13" s="16" t="s">
        <v>168</v>
      </c>
      <c r="BB13" s="16" t="s">
        <v>168</v>
      </c>
      <c r="BC13" s="16" t="s">
        <v>168</v>
      </c>
      <c r="BD13" s="16" t="s">
        <v>367</v>
      </c>
      <c r="BE13" s="20" t="s">
        <v>372</v>
      </c>
      <c r="BF13" s="20" t="s">
        <v>375</v>
      </c>
      <c r="BG13" s="16" t="s">
        <v>191</v>
      </c>
      <c r="BH13" s="25" t="s">
        <v>381</v>
      </c>
      <c r="BI13" s="20" t="s">
        <v>383</v>
      </c>
      <c r="BJ13" s="16" t="s">
        <v>386</v>
      </c>
      <c r="BK13" s="20" t="s">
        <v>186</v>
      </c>
      <c r="BL13" s="20" t="s">
        <v>168</v>
      </c>
      <c r="BM13" s="20" t="s">
        <v>392</v>
      </c>
      <c r="BN13" s="20" t="s">
        <v>168</v>
      </c>
      <c r="BO13" s="20" t="s">
        <v>168</v>
      </c>
      <c r="BP13" s="20" t="s">
        <v>186</v>
      </c>
      <c r="BQ13" s="20" t="s">
        <v>401</v>
      </c>
      <c r="BR13" s="21" t="s">
        <v>404</v>
      </c>
      <c r="BS13" s="21">
        <v>40000.0</v>
      </c>
      <c r="BT13" s="16" t="s">
        <v>186</v>
      </c>
      <c r="BU13" s="16" t="s">
        <v>168</v>
      </c>
      <c r="BV13" s="14"/>
      <c r="BW13" s="16" t="s">
        <v>414</v>
      </c>
      <c r="BX13" s="16" t="s">
        <v>418</v>
      </c>
      <c r="BY13" s="20" t="s">
        <v>426</v>
      </c>
      <c r="BZ13" s="20" t="s">
        <v>430</v>
      </c>
      <c r="CA13" s="20" t="s">
        <v>168</v>
      </c>
      <c r="CB13" s="20" t="s">
        <v>168</v>
      </c>
      <c r="CC13" s="20" t="s">
        <v>168</v>
      </c>
      <c r="CD13" s="20" t="s">
        <v>168</v>
      </c>
      <c r="CE13" s="20" t="s">
        <v>168</v>
      </c>
      <c r="CF13" s="20" t="s">
        <v>168</v>
      </c>
      <c r="CG13" s="20" t="s">
        <v>168</v>
      </c>
      <c r="CH13" s="20" t="s">
        <v>186</v>
      </c>
      <c r="CI13" s="20" t="s">
        <v>451</v>
      </c>
      <c r="CJ13" s="20" t="s">
        <v>456</v>
      </c>
      <c r="CK13" s="20" t="s">
        <v>464</v>
      </c>
      <c r="CL13" s="20" t="s">
        <v>466</v>
      </c>
      <c r="CM13" s="20" t="s">
        <v>186</v>
      </c>
      <c r="CN13" s="20" t="s">
        <v>186</v>
      </c>
      <c r="CO13" s="20" t="s">
        <v>186</v>
      </c>
      <c r="CP13" s="20" t="s">
        <v>186</v>
      </c>
      <c r="CQ13" s="20" t="s">
        <v>186</v>
      </c>
      <c r="CR13" s="20" t="s">
        <v>474</v>
      </c>
      <c r="CS13" s="20" t="s">
        <v>478</v>
      </c>
      <c r="CT13" s="20" t="s">
        <v>186</v>
      </c>
      <c r="CU13" s="20" t="s">
        <v>186</v>
      </c>
      <c r="CV13" s="20" t="s">
        <v>186</v>
      </c>
      <c r="CW13" s="20" t="s">
        <v>186</v>
      </c>
      <c r="CX13" s="20" t="s">
        <v>186</v>
      </c>
      <c r="CY13" s="16" t="s">
        <v>486</v>
      </c>
      <c r="CZ13" s="20">
        <v>1.0</v>
      </c>
      <c r="DA13" s="20">
        <v>1.0</v>
      </c>
      <c r="DB13" s="20">
        <v>3.0</v>
      </c>
      <c r="DC13" s="20" t="s">
        <v>168</v>
      </c>
      <c r="DD13" s="20" t="s">
        <v>495</v>
      </c>
      <c r="DE13" s="20" t="s">
        <v>168</v>
      </c>
      <c r="DF13" s="20">
        <v>1.0</v>
      </c>
      <c r="DG13" s="20">
        <v>1.0</v>
      </c>
      <c r="DH13" s="20">
        <v>1.0</v>
      </c>
      <c r="DI13" s="20">
        <v>1.0</v>
      </c>
      <c r="DJ13" s="20">
        <v>1.0</v>
      </c>
      <c r="DK13" s="20">
        <v>1.0</v>
      </c>
      <c r="DL13" s="19"/>
      <c r="DM13" s="19"/>
    </row>
    <row r="14" hidden="1">
      <c r="A14" s="5" t="s">
        <v>13</v>
      </c>
      <c r="B14" s="10" t="s">
        <v>20</v>
      </c>
      <c r="C14" s="12" t="s">
        <v>634</v>
      </c>
      <c r="D14" s="12" t="s">
        <v>635</v>
      </c>
      <c r="E14" s="12" t="s">
        <v>636</v>
      </c>
      <c r="F14" s="12" t="s">
        <v>637</v>
      </c>
      <c r="G14" s="12" t="s">
        <v>638</v>
      </c>
      <c r="H14" s="12" t="s">
        <v>639</v>
      </c>
      <c r="I14" s="14"/>
      <c r="J14" s="12" t="s">
        <v>640</v>
      </c>
      <c r="K14" s="15"/>
      <c r="L14" s="17" t="s">
        <v>143</v>
      </c>
      <c r="M14" s="17" t="s">
        <v>158</v>
      </c>
      <c r="N14" s="21">
        <v>50000.0</v>
      </c>
      <c r="O14" s="20" t="s">
        <v>167</v>
      </c>
      <c r="P14" s="20" t="s">
        <v>168</v>
      </c>
      <c r="Q14" s="20" t="s">
        <v>168</v>
      </c>
      <c r="R14" s="21">
        <v>50000.0</v>
      </c>
      <c r="S14" s="21">
        <v>50000.0</v>
      </c>
      <c r="T14" s="21">
        <v>50000.0</v>
      </c>
      <c r="U14" s="21">
        <v>50000.0</v>
      </c>
      <c r="V14" s="20" t="s">
        <v>181</v>
      </c>
      <c r="W14" s="15"/>
      <c r="X14" s="20">
        <v>8.5437099E7</v>
      </c>
      <c r="Y14" s="20" t="s">
        <v>186</v>
      </c>
      <c r="Z14" s="20" t="s">
        <v>188</v>
      </c>
      <c r="AA14" s="16" t="s">
        <v>190</v>
      </c>
      <c r="AB14" s="20" t="s">
        <v>193</v>
      </c>
      <c r="AC14" s="20" t="s">
        <v>195</v>
      </c>
      <c r="AD14" s="20" t="s">
        <v>198</v>
      </c>
      <c r="AE14" s="20" t="s">
        <v>208</v>
      </c>
      <c r="AF14" s="16" t="s">
        <v>214</v>
      </c>
      <c r="AG14" s="20" t="s">
        <v>224</v>
      </c>
      <c r="AH14" s="20" t="s">
        <v>228</v>
      </c>
      <c r="AI14" s="20" t="s">
        <v>234</v>
      </c>
      <c r="AJ14" s="20" t="s">
        <v>238</v>
      </c>
      <c r="AK14" s="16">
        <v>2.0</v>
      </c>
      <c r="AL14" s="20" t="s">
        <v>243</v>
      </c>
      <c r="AM14" s="16" t="s">
        <v>251</v>
      </c>
      <c r="AN14" s="16" t="s">
        <v>262</v>
      </c>
      <c r="AO14" s="20" t="s">
        <v>270</v>
      </c>
      <c r="AP14" s="16" t="s">
        <v>281</v>
      </c>
      <c r="AQ14" s="20" t="s">
        <v>288</v>
      </c>
      <c r="AR14" s="20" t="s">
        <v>290</v>
      </c>
      <c r="AS14" s="20" t="s">
        <v>292</v>
      </c>
      <c r="AT14" s="20" t="s">
        <v>296</v>
      </c>
      <c r="AU14" s="20" t="s">
        <v>304</v>
      </c>
      <c r="AV14" s="20" t="s">
        <v>314</v>
      </c>
      <c r="AW14" s="16" t="s">
        <v>323</v>
      </c>
      <c r="AX14" s="20" t="s">
        <v>329</v>
      </c>
      <c r="AY14" s="20" t="s">
        <v>334</v>
      </c>
      <c r="AZ14" s="16" t="s">
        <v>344</v>
      </c>
      <c r="BA14" s="16" t="s">
        <v>353</v>
      </c>
      <c r="BB14" s="16" t="s">
        <v>168</v>
      </c>
      <c r="BC14" s="16" t="s">
        <v>168</v>
      </c>
      <c r="BD14" s="16" t="s">
        <v>367</v>
      </c>
      <c r="BE14" s="20" t="s">
        <v>372</v>
      </c>
      <c r="BF14" s="20" t="s">
        <v>375</v>
      </c>
      <c r="BG14" s="16" t="s">
        <v>191</v>
      </c>
      <c r="BH14" s="25" t="s">
        <v>381</v>
      </c>
      <c r="BI14" s="20" t="s">
        <v>383</v>
      </c>
      <c r="BJ14" s="16" t="s">
        <v>386</v>
      </c>
      <c r="BK14" s="20" t="s">
        <v>186</v>
      </c>
      <c r="BL14" s="20" t="s">
        <v>168</v>
      </c>
      <c r="BM14" s="20" t="s">
        <v>392</v>
      </c>
      <c r="BN14" s="20" t="s">
        <v>168</v>
      </c>
      <c r="BO14" s="20" t="s">
        <v>168</v>
      </c>
      <c r="BP14" s="20" t="s">
        <v>186</v>
      </c>
      <c r="BQ14" s="20" t="s">
        <v>402</v>
      </c>
      <c r="BR14" s="21" t="s">
        <v>404</v>
      </c>
      <c r="BS14" s="21">
        <v>100000.0</v>
      </c>
      <c r="BT14" s="16" t="s">
        <v>186</v>
      </c>
      <c r="BU14" s="16" t="s">
        <v>168</v>
      </c>
      <c r="BV14" s="16" t="s">
        <v>409</v>
      </c>
      <c r="BW14" s="16" t="s">
        <v>414</v>
      </c>
      <c r="BX14" s="16" t="s">
        <v>418</v>
      </c>
      <c r="BY14" s="20" t="s">
        <v>426</v>
      </c>
      <c r="BZ14" s="20" t="s">
        <v>430</v>
      </c>
      <c r="CA14" s="20" t="s">
        <v>168</v>
      </c>
      <c r="CB14" s="20" t="s">
        <v>168</v>
      </c>
      <c r="CC14" s="20" t="s">
        <v>168</v>
      </c>
      <c r="CD14" s="20" t="s">
        <v>168</v>
      </c>
      <c r="CE14" s="20" t="s">
        <v>168</v>
      </c>
      <c r="CF14" s="20" t="s">
        <v>168</v>
      </c>
      <c r="CG14" s="20" t="s">
        <v>168</v>
      </c>
      <c r="CH14" s="20" t="s">
        <v>186</v>
      </c>
      <c r="CI14" s="20" t="s">
        <v>451</v>
      </c>
      <c r="CJ14" s="20" t="s">
        <v>460</v>
      </c>
      <c r="CK14" s="20" t="s">
        <v>464</v>
      </c>
      <c r="CL14" s="20" t="s">
        <v>466</v>
      </c>
      <c r="CM14" s="20" t="s">
        <v>186</v>
      </c>
      <c r="CN14" s="20" t="s">
        <v>186</v>
      </c>
      <c r="CO14" s="20" t="s">
        <v>186</v>
      </c>
      <c r="CP14" s="20" t="s">
        <v>186</v>
      </c>
      <c r="CQ14" s="20" t="s">
        <v>186</v>
      </c>
      <c r="CR14" s="20" t="s">
        <v>474</v>
      </c>
      <c r="CS14" s="20" t="s">
        <v>478</v>
      </c>
      <c r="CT14" s="20" t="s">
        <v>186</v>
      </c>
      <c r="CU14" s="20" t="s">
        <v>186</v>
      </c>
      <c r="CV14" s="20" t="s">
        <v>186</v>
      </c>
      <c r="CW14" s="20" t="s">
        <v>186</v>
      </c>
      <c r="CX14" s="20" t="s">
        <v>186</v>
      </c>
      <c r="CY14" s="16" t="s">
        <v>486</v>
      </c>
      <c r="CZ14" s="20">
        <v>1.0</v>
      </c>
      <c r="DA14" s="20">
        <v>1.0</v>
      </c>
      <c r="DB14" s="20">
        <v>3.0</v>
      </c>
      <c r="DC14" s="20" t="s">
        <v>168</v>
      </c>
      <c r="DD14" s="20" t="s">
        <v>495</v>
      </c>
      <c r="DE14" s="20" t="s">
        <v>168</v>
      </c>
      <c r="DF14" s="20">
        <v>1.0</v>
      </c>
      <c r="DG14" s="20">
        <v>1.0</v>
      </c>
      <c r="DH14" s="20">
        <v>1.0</v>
      </c>
      <c r="DI14" s="20">
        <v>1.0</v>
      </c>
      <c r="DJ14" s="20">
        <v>1.0</v>
      </c>
      <c r="DK14" s="20">
        <v>1.0</v>
      </c>
      <c r="DL14" s="17"/>
      <c r="DM14" s="17"/>
    </row>
    <row r="15" hidden="1">
      <c r="A15" s="5" t="s">
        <v>14</v>
      </c>
      <c r="B15" s="10" t="s">
        <v>20</v>
      </c>
      <c r="C15" s="12" t="s">
        <v>641</v>
      </c>
      <c r="D15" s="12" t="s">
        <v>642</v>
      </c>
      <c r="E15" s="12" t="s">
        <v>643</v>
      </c>
      <c r="F15" s="12" t="s">
        <v>644</v>
      </c>
      <c r="G15" s="12" t="s">
        <v>645</v>
      </c>
      <c r="H15" s="12" t="s">
        <v>646</v>
      </c>
      <c r="I15" s="14"/>
      <c r="J15" s="13"/>
      <c r="K15" s="15"/>
      <c r="L15" s="17" t="s">
        <v>144</v>
      </c>
      <c r="M15" s="17" t="s">
        <v>159</v>
      </c>
      <c r="N15" s="20" t="s">
        <v>162</v>
      </c>
      <c r="O15" s="20" t="s">
        <v>162</v>
      </c>
      <c r="P15" s="20" t="s">
        <v>162</v>
      </c>
      <c r="Q15" s="20" t="s">
        <v>168</v>
      </c>
      <c r="R15" s="20" t="s">
        <v>168</v>
      </c>
      <c r="S15" s="20" t="s">
        <v>176</v>
      </c>
      <c r="T15" s="20" t="s">
        <v>162</v>
      </c>
      <c r="U15" s="20" t="s">
        <v>162</v>
      </c>
      <c r="V15" s="21">
        <v>300000.0</v>
      </c>
      <c r="W15" s="15"/>
      <c r="X15" s="20">
        <v>8.5437099E7</v>
      </c>
      <c r="Y15" s="20" t="s">
        <v>186</v>
      </c>
      <c r="Z15" s="20" t="s">
        <v>188</v>
      </c>
      <c r="AA15" s="16" t="s">
        <v>191</v>
      </c>
      <c r="AB15" s="20" t="s">
        <v>193</v>
      </c>
      <c r="AC15" s="20" t="s">
        <v>195</v>
      </c>
      <c r="AD15" s="20" t="s">
        <v>199</v>
      </c>
      <c r="AE15" s="20" t="s">
        <v>209</v>
      </c>
      <c r="AF15" s="16" t="s">
        <v>214</v>
      </c>
      <c r="AG15" s="20" t="s">
        <v>220</v>
      </c>
      <c r="AH15" s="20" t="s">
        <v>226</v>
      </c>
      <c r="AI15" s="20" t="s">
        <v>232</v>
      </c>
      <c r="AJ15" s="20" t="s">
        <v>168</v>
      </c>
      <c r="AK15" s="16">
        <v>0.622</v>
      </c>
      <c r="AL15" s="20" t="s">
        <v>243</v>
      </c>
      <c r="AM15" s="16" t="s">
        <v>249</v>
      </c>
      <c r="AN15" s="16" t="s">
        <v>263</v>
      </c>
      <c r="AO15" s="20" t="s">
        <v>271</v>
      </c>
      <c r="AP15" s="16" t="s">
        <v>282</v>
      </c>
      <c r="AQ15" s="20" t="s">
        <v>284</v>
      </c>
      <c r="AR15" s="20" t="s">
        <v>290</v>
      </c>
      <c r="AS15" s="20" t="s">
        <v>294</v>
      </c>
      <c r="AT15" s="20" t="s">
        <v>296</v>
      </c>
      <c r="AU15" s="20" t="s">
        <v>305</v>
      </c>
      <c r="AV15" s="20" t="s">
        <v>315</v>
      </c>
      <c r="AW15" s="16" t="s">
        <v>324</v>
      </c>
      <c r="AX15" s="16" t="s">
        <v>332</v>
      </c>
      <c r="AY15" s="20" t="s">
        <v>335</v>
      </c>
      <c r="AZ15" s="20" t="s">
        <v>345</v>
      </c>
      <c r="BA15" s="20" t="s">
        <v>354</v>
      </c>
      <c r="BB15" s="20" t="s">
        <v>360</v>
      </c>
      <c r="BC15" s="24" t="s">
        <v>362</v>
      </c>
      <c r="BD15" s="16" t="s">
        <v>370</v>
      </c>
      <c r="BE15" s="20" t="s">
        <v>372</v>
      </c>
      <c r="BF15" s="20" t="s">
        <v>375</v>
      </c>
      <c r="BG15" s="16" t="s">
        <v>191</v>
      </c>
      <c r="BH15" s="25" t="s">
        <v>186</v>
      </c>
      <c r="BI15" s="20" t="s">
        <v>383</v>
      </c>
      <c r="BJ15" s="16" t="s">
        <v>386</v>
      </c>
      <c r="BK15" s="20" t="s">
        <v>186</v>
      </c>
      <c r="BL15" s="20" t="s">
        <v>168</v>
      </c>
      <c r="BM15" s="20" t="s">
        <v>391</v>
      </c>
      <c r="BN15" s="20" t="s">
        <v>395</v>
      </c>
      <c r="BO15" s="20" t="s">
        <v>186</v>
      </c>
      <c r="BP15" s="20" t="s">
        <v>186</v>
      </c>
      <c r="BQ15" s="20" t="s">
        <v>400</v>
      </c>
      <c r="BR15" s="21" t="s">
        <v>404</v>
      </c>
      <c r="BS15" s="21">
        <v>100000.0</v>
      </c>
      <c r="BT15" s="16" t="s">
        <v>186</v>
      </c>
      <c r="BU15" s="16" t="s">
        <v>168</v>
      </c>
      <c r="BV15" s="20" t="s">
        <v>412</v>
      </c>
      <c r="BW15" s="16" t="s">
        <v>414</v>
      </c>
      <c r="BX15" s="16" t="s">
        <v>418</v>
      </c>
      <c r="BY15" s="20" t="s">
        <v>427</v>
      </c>
      <c r="BZ15" s="16" t="s">
        <v>430</v>
      </c>
      <c r="CA15" s="16" t="s">
        <v>432</v>
      </c>
      <c r="CB15" s="16" t="s">
        <v>414</v>
      </c>
      <c r="CC15" s="16" t="s">
        <v>438</v>
      </c>
      <c r="CD15" s="16" t="s">
        <v>168</v>
      </c>
      <c r="CE15" s="16" t="s">
        <v>168</v>
      </c>
      <c r="CF15" s="16" t="s">
        <v>168</v>
      </c>
      <c r="CG15" s="16" t="s">
        <v>168</v>
      </c>
      <c r="CH15" s="20" t="s">
        <v>186</v>
      </c>
      <c r="CI15" s="20" t="s">
        <v>451</v>
      </c>
      <c r="CJ15" s="20" t="s">
        <v>461</v>
      </c>
      <c r="CK15" s="20" t="s">
        <v>464</v>
      </c>
      <c r="CL15" s="20" t="s">
        <v>466</v>
      </c>
      <c r="CM15" s="20" t="s">
        <v>186</v>
      </c>
      <c r="CN15" s="20" t="s">
        <v>191</v>
      </c>
      <c r="CO15" s="20" t="s">
        <v>186</v>
      </c>
      <c r="CP15" s="20" t="s">
        <v>186</v>
      </c>
      <c r="CQ15" s="20" t="s">
        <v>186</v>
      </c>
      <c r="CR15" s="20" t="s">
        <v>473</v>
      </c>
      <c r="CS15" s="20" t="s">
        <v>478</v>
      </c>
      <c r="CT15" s="20" t="s">
        <v>186</v>
      </c>
      <c r="CU15" s="20" t="s">
        <v>191</v>
      </c>
      <c r="CV15" s="20" t="s">
        <v>186</v>
      </c>
      <c r="CW15" s="20" t="s">
        <v>186</v>
      </c>
      <c r="CX15" s="20" t="s">
        <v>186</v>
      </c>
      <c r="CY15" s="20" t="s">
        <v>488</v>
      </c>
      <c r="CZ15" s="20">
        <v>1.0</v>
      </c>
      <c r="DA15" s="20" t="s">
        <v>168</v>
      </c>
      <c r="DB15" s="20">
        <v>1.0</v>
      </c>
      <c r="DC15" s="20" t="s">
        <v>168</v>
      </c>
      <c r="DD15" s="20" t="s">
        <v>496</v>
      </c>
      <c r="DE15" s="20">
        <v>1.0</v>
      </c>
      <c r="DF15" s="20">
        <v>1.0</v>
      </c>
      <c r="DG15" s="20">
        <v>1.0</v>
      </c>
      <c r="DH15" s="20" t="s">
        <v>168</v>
      </c>
      <c r="DI15" s="20">
        <v>1.0</v>
      </c>
      <c r="DJ15" s="20">
        <v>1.0</v>
      </c>
      <c r="DK15" s="20">
        <v>1.0</v>
      </c>
      <c r="DL15" s="17"/>
      <c r="DM15" s="20" t="s">
        <v>186</v>
      </c>
    </row>
    <row r="16" hidden="1">
      <c r="A16" s="5" t="s">
        <v>15</v>
      </c>
      <c r="B16" s="10" t="s">
        <v>20</v>
      </c>
      <c r="C16" s="12" t="s">
        <v>647</v>
      </c>
      <c r="D16" s="12" t="s">
        <v>648</v>
      </c>
      <c r="E16" s="12" t="s">
        <v>649</v>
      </c>
      <c r="F16" s="12" t="s">
        <v>650</v>
      </c>
      <c r="G16" s="12" t="s">
        <v>651</v>
      </c>
      <c r="H16" s="12" t="s">
        <v>652</v>
      </c>
      <c r="I16" s="14"/>
      <c r="J16" s="13"/>
      <c r="K16" s="15"/>
      <c r="L16" s="17" t="s">
        <v>145</v>
      </c>
      <c r="M16" s="17" t="s">
        <v>159</v>
      </c>
      <c r="N16" s="21">
        <v>8000.0</v>
      </c>
      <c r="O16" s="21">
        <v>6000.0</v>
      </c>
      <c r="P16" s="21">
        <v>8000.0</v>
      </c>
      <c r="Q16" s="20" t="s">
        <v>168</v>
      </c>
      <c r="R16" s="20" t="s">
        <v>168</v>
      </c>
      <c r="S16" s="20" t="s">
        <v>176</v>
      </c>
      <c r="T16" s="21">
        <v>8000.0</v>
      </c>
      <c r="U16" s="21">
        <v>8000.0</v>
      </c>
      <c r="V16" s="21">
        <v>200000.0</v>
      </c>
      <c r="W16" s="15"/>
      <c r="X16" s="20">
        <v>8.5437099E7</v>
      </c>
      <c r="Y16" s="20" t="s">
        <v>186</v>
      </c>
      <c r="Z16" s="20" t="s">
        <v>188</v>
      </c>
      <c r="AA16" s="16" t="s">
        <v>191</v>
      </c>
      <c r="AB16" s="20" t="s">
        <v>193</v>
      </c>
      <c r="AC16" s="20" t="s">
        <v>195</v>
      </c>
      <c r="AD16" s="20" t="s">
        <v>168</v>
      </c>
      <c r="AE16" s="20" t="s">
        <v>210</v>
      </c>
      <c r="AF16" s="16" t="s">
        <v>214</v>
      </c>
      <c r="AG16" s="20" t="s">
        <v>220</v>
      </c>
      <c r="AH16" s="20" t="s">
        <v>226</v>
      </c>
      <c r="AI16" s="20" t="s">
        <v>232</v>
      </c>
      <c r="AJ16" s="20" t="s">
        <v>168</v>
      </c>
      <c r="AK16" s="16">
        <v>0.264</v>
      </c>
      <c r="AL16" s="20" t="s">
        <v>243</v>
      </c>
      <c r="AM16" s="16" t="s">
        <v>249</v>
      </c>
      <c r="AN16" s="16" t="s">
        <v>263</v>
      </c>
      <c r="AO16" s="20" t="s">
        <v>271</v>
      </c>
      <c r="AP16" s="16" t="s">
        <v>282</v>
      </c>
      <c r="AQ16" s="20" t="s">
        <v>284</v>
      </c>
      <c r="AR16" s="20" t="s">
        <v>290</v>
      </c>
      <c r="AS16" s="20" t="s">
        <v>294</v>
      </c>
      <c r="AT16" s="20" t="s">
        <v>296</v>
      </c>
      <c r="AU16" s="20" t="s">
        <v>306</v>
      </c>
      <c r="AV16" s="20" t="s">
        <v>315</v>
      </c>
      <c r="AW16" s="16" t="s">
        <v>325</v>
      </c>
      <c r="AX16" s="16" t="s">
        <v>332</v>
      </c>
      <c r="AY16" s="20" t="s">
        <v>335</v>
      </c>
      <c r="AZ16" s="20" t="s">
        <v>345</v>
      </c>
      <c r="BA16" s="20" t="s">
        <v>355</v>
      </c>
      <c r="BB16" s="20" t="s">
        <v>360</v>
      </c>
      <c r="BC16" s="24" t="s">
        <v>362</v>
      </c>
      <c r="BD16" s="16" t="s">
        <v>370</v>
      </c>
      <c r="BE16" s="20" t="s">
        <v>372</v>
      </c>
      <c r="BF16" s="20" t="s">
        <v>375</v>
      </c>
      <c r="BG16" s="16" t="s">
        <v>191</v>
      </c>
      <c r="BH16" s="25" t="s">
        <v>186</v>
      </c>
      <c r="BI16" s="20" t="s">
        <v>383</v>
      </c>
      <c r="BJ16" s="16" t="s">
        <v>386</v>
      </c>
      <c r="BK16" s="20" t="s">
        <v>186</v>
      </c>
      <c r="BL16" s="20" t="s">
        <v>168</v>
      </c>
      <c r="BM16" s="20" t="s">
        <v>391</v>
      </c>
      <c r="BN16" s="20" t="s">
        <v>395</v>
      </c>
      <c r="BO16" s="20" t="s">
        <v>186</v>
      </c>
      <c r="BP16" s="20" t="s">
        <v>186</v>
      </c>
      <c r="BQ16" s="20" t="s">
        <v>400</v>
      </c>
      <c r="BR16" s="21" t="s">
        <v>404</v>
      </c>
      <c r="BS16" s="21">
        <v>100000.0</v>
      </c>
      <c r="BT16" s="16" t="s">
        <v>186</v>
      </c>
      <c r="BU16" s="16" t="s">
        <v>168</v>
      </c>
      <c r="BV16" s="16" t="s">
        <v>409</v>
      </c>
      <c r="BW16" s="16" t="s">
        <v>414</v>
      </c>
      <c r="BX16" s="16" t="s">
        <v>418</v>
      </c>
      <c r="BY16" s="20" t="s">
        <v>427</v>
      </c>
      <c r="BZ16" s="16" t="s">
        <v>430</v>
      </c>
      <c r="CA16" s="16" t="s">
        <v>432</v>
      </c>
      <c r="CB16" s="16" t="s">
        <v>414</v>
      </c>
      <c r="CC16" s="16" t="s">
        <v>438</v>
      </c>
      <c r="CD16" s="16" t="s">
        <v>168</v>
      </c>
      <c r="CE16" s="16" t="s">
        <v>168</v>
      </c>
      <c r="CF16" s="16" t="s">
        <v>168</v>
      </c>
      <c r="CG16" s="16" t="s">
        <v>168</v>
      </c>
      <c r="CH16" s="20" t="s">
        <v>186</v>
      </c>
      <c r="CI16" s="20" t="s">
        <v>451</v>
      </c>
      <c r="CJ16" s="20" t="s">
        <v>461</v>
      </c>
      <c r="CK16" s="20" t="s">
        <v>464</v>
      </c>
      <c r="CL16" s="20" t="s">
        <v>466</v>
      </c>
      <c r="CM16" s="20" t="s">
        <v>186</v>
      </c>
      <c r="CN16" s="20" t="s">
        <v>191</v>
      </c>
      <c r="CO16" s="20" t="s">
        <v>186</v>
      </c>
      <c r="CP16" s="20" t="s">
        <v>186</v>
      </c>
      <c r="CQ16" s="20" t="s">
        <v>186</v>
      </c>
      <c r="CR16" s="20" t="s">
        <v>473</v>
      </c>
      <c r="CS16" s="20" t="s">
        <v>478</v>
      </c>
      <c r="CT16" s="20" t="s">
        <v>186</v>
      </c>
      <c r="CU16" s="20" t="s">
        <v>191</v>
      </c>
      <c r="CV16" s="20" t="s">
        <v>186</v>
      </c>
      <c r="CW16" s="20" t="s">
        <v>186</v>
      </c>
      <c r="CX16" s="20" t="s">
        <v>186</v>
      </c>
      <c r="CY16" s="20" t="s">
        <v>488</v>
      </c>
      <c r="CZ16" s="20">
        <v>1.0</v>
      </c>
      <c r="DA16" s="20" t="s">
        <v>168</v>
      </c>
      <c r="DB16" s="20">
        <v>1.0</v>
      </c>
      <c r="DC16" s="20" t="s">
        <v>168</v>
      </c>
      <c r="DD16" s="20" t="s">
        <v>496</v>
      </c>
      <c r="DE16" s="20">
        <v>1.0</v>
      </c>
      <c r="DF16" s="20">
        <v>1.0</v>
      </c>
      <c r="DG16" s="20">
        <v>1.0</v>
      </c>
      <c r="DH16" s="20" t="s">
        <v>168</v>
      </c>
      <c r="DI16" s="20">
        <v>1.0</v>
      </c>
      <c r="DJ16" s="20">
        <v>1.0</v>
      </c>
      <c r="DK16" s="20">
        <v>1.0</v>
      </c>
      <c r="DL16" s="17"/>
      <c r="DM16" s="20" t="s">
        <v>186</v>
      </c>
    </row>
    <row r="17" hidden="1">
      <c r="A17" s="5" t="s">
        <v>16</v>
      </c>
      <c r="B17" s="10" t="s">
        <v>20</v>
      </c>
      <c r="C17" s="12" t="s">
        <v>653</v>
      </c>
      <c r="D17" s="12" t="s">
        <v>654</v>
      </c>
      <c r="E17" s="12" t="s">
        <v>655</v>
      </c>
      <c r="F17" s="12" t="s">
        <v>656</v>
      </c>
      <c r="G17" s="12" t="s">
        <v>657</v>
      </c>
      <c r="H17" s="12" t="s">
        <v>658</v>
      </c>
      <c r="I17" s="14"/>
      <c r="J17" s="13"/>
      <c r="K17" s="15"/>
      <c r="L17" s="17" t="s">
        <v>146</v>
      </c>
      <c r="M17" s="17" t="s">
        <v>159</v>
      </c>
      <c r="N17" s="21">
        <v>6000.0</v>
      </c>
      <c r="O17" s="21">
        <v>4000.0</v>
      </c>
      <c r="P17" s="21">
        <v>3000.0</v>
      </c>
      <c r="Q17" s="20" t="s">
        <v>168</v>
      </c>
      <c r="R17" s="20" t="s">
        <v>168</v>
      </c>
      <c r="S17" s="21">
        <v>6000.0</v>
      </c>
      <c r="T17" s="21">
        <v>6000.0</v>
      </c>
      <c r="U17" s="21">
        <v>6000.0</v>
      </c>
      <c r="V17" s="21">
        <v>150000.0</v>
      </c>
      <c r="W17" s="15"/>
      <c r="X17" s="20">
        <v>8.5437099E7</v>
      </c>
      <c r="Y17" s="20" t="s">
        <v>186</v>
      </c>
      <c r="Z17" s="20" t="s">
        <v>188</v>
      </c>
      <c r="AA17" s="16" t="s">
        <v>191</v>
      </c>
      <c r="AB17" s="20" t="s">
        <v>193</v>
      </c>
      <c r="AC17" s="20" t="s">
        <v>195</v>
      </c>
      <c r="AD17" s="20" t="s">
        <v>199</v>
      </c>
      <c r="AE17" s="20" t="s">
        <v>211</v>
      </c>
      <c r="AF17" s="16" t="s">
        <v>214</v>
      </c>
      <c r="AG17" s="20" t="s">
        <v>220</v>
      </c>
      <c r="AH17" s="20" t="s">
        <v>226</v>
      </c>
      <c r="AI17" s="20" t="s">
        <v>232</v>
      </c>
      <c r="AJ17" s="20" t="s">
        <v>168</v>
      </c>
      <c r="AK17" s="16">
        <v>0.185</v>
      </c>
      <c r="AL17" s="20" t="s">
        <v>243</v>
      </c>
      <c r="AM17" s="16" t="s">
        <v>249</v>
      </c>
      <c r="AN17" s="16" t="s">
        <v>263</v>
      </c>
      <c r="AO17" s="20" t="s">
        <v>271</v>
      </c>
      <c r="AP17" s="16" t="s">
        <v>282</v>
      </c>
      <c r="AQ17" s="20" t="s">
        <v>284</v>
      </c>
      <c r="AR17" s="20" t="s">
        <v>290</v>
      </c>
      <c r="AS17" s="20" t="s">
        <v>294</v>
      </c>
      <c r="AT17" s="20" t="s">
        <v>296</v>
      </c>
      <c r="AU17" s="20" t="s">
        <v>307</v>
      </c>
      <c r="AV17" s="20" t="s">
        <v>315</v>
      </c>
      <c r="AW17" s="16" t="s">
        <v>326</v>
      </c>
      <c r="AX17" s="16" t="s">
        <v>332</v>
      </c>
      <c r="AY17" s="20" t="s">
        <v>335</v>
      </c>
      <c r="AZ17" s="20" t="s">
        <v>345</v>
      </c>
      <c r="BA17" s="20" t="s">
        <v>356</v>
      </c>
      <c r="BB17" s="20" t="s">
        <v>360</v>
      </c>
      <c r="BC17" s="24" t="s">
        <v>362</v>
      </c>
      <c r="BD17" s="16" t="s">
        <v>370</v>
      </c>
      <c r="BE17" s="20" t="s">
        <v>372</v>
      </c>
      <c r="BF17" s="20" t="s">
        <v>375</v>
      </c>
      <c r="BG17" s="16" t="s">
        <v>191</v>
      </c>
      <c r="BH17" s="25" t="s">
        <v>186</v>
      </c>
      <c r="BI17" s="20" t="s">
        <v>383</v>
      </c>
      <c r="BJ17" s="16" t="s">
        <v>386</v>
      </c>
      <c r="BK17" s="20" t="s">
        <v>186</v>
      </c>
      <c r="BL17" s="20" t="s">
        <v>168</v>
      </c>
      <c r="BM17" s="20" t="s">
        <v>391</v>
      </c>
      <c r="BN17" s="20" t="s">
        <v>395</v>
      </c>
      <c r="BO17" s="20" t="s">
        <v>186</v>
      </c>
      <c r="BP17" s="20" t="s">
        <v>186</v>
      </c>
      <c r="BQ17" s="20" t="s">
        <v>400</v>
      </c>
      <c r="BR17" s="21" t="s">
        <v>404</v>
      </c>
      <c r="BS17" s="21">
        <v>100000.0</v>
      </c>
      <c r="BT17" s="16" t="s">
        <v>186</v>
      </c>
      <c r="BU17" s="16" t="s">
        <v>168</v>
      </c>
      <c r="BV17" s="16" t="s">
        <v>409</v>
      </c>
      <c r="BW17" s="16" t="s">
        <v>414</v>
      </c>
      <c r="BX17" s="16" t="s">
        <v>418</v>
      </c>
      <c r="BY17" s="20" t="s">
        <v>428</v>
      </c>
      <c r="BZ17" s="16" t="s">
        <v>430</v>
      </c>
      <c r="CA17" s="16" t="s">
        <v>432</v>
      </c>
      <c r="CB17" s="16" t="s">
        <v>414</v>
      </c>
      <c r="CC17" s="16" t="s">
        <v>438</v>
      </c>
      <c r="CD17" s="16" t="s">
        <v>168</v>
      </c>
      <c r="CE17" s="16" t="s">
        <v>168</v>
      </c>
      <c r="CF17" s="16" t="s">
        <v>168</v>
      </c>
      <c r="CG17" s="16" t="s">
        <v>168</v>
      </c>
      <c r="CH17" s="20" t="s">
        <v>186</v>
      </c>
      <c r="CI17" s="20" t="s">
        <v>451</v>
      </c>
      <c r="CJ17" s="20" t="s">
        <v>461</v>
      </c>
      <c r="CK17" s="20" t="s">
        <v>464</v>
      </c>
      <c r="CL17" s="20" t="s">
        <v>466</v>
      </c>
      <c r="CM17" s="20" t="s">
        <v>186</v>
      </c>
      <c r="CN17" s="20" t="s">
        <v>191</v>
      </c>
      <c r="CO17" s="20" t="s">
        <v>186</v>
      </c>
      <c r="CP17" s="20" t="s">
        <v>186</v>
      </c>
      <c r="CQ17" s="20" t="s">
        <v>186</v>
      </c>
      <c r="CR17" s="20" t="s">
        <v>473</v>
      </c>
      <c r="CS17" s="20" t="s">
        <v>478</v>
      </c>
      <c r="CT17" s="20" t="s">
        <v>186</v>
      </c>
      <c r="CU17" s="20" t="s">
        <v>191</v>
      </c>
      <c r="CV17" s="20" t="s">
        <v>186</v>
      </c>
      <c r="CW17" s="20" t="s">
        <v>186</v>
      </c>
      <c r="CX17" s="20" t="s">
        <v>186</v>
      </c>
      <c r="CY17" s="20" t="s">
        <v>488</v>
      </c>
      <c r="CZ17" s="20">
        <v>1.0</v>
      </c>
      <c r="DA17" s="20" t="s">
        <v>168</v>
      </c>
      <c r="DB17" s="20">
        <v>1.0</v>
      </c>
      <c r="DC17" s="20" t="s">
        <v>168</v>
      </c>
      <c r="DD17" s="20" t="s">
        <v>496</v>
      </c>
      <c r="DE17" s="20">
        <v>1.0</v>
      </c>
      <c r="DF17" s="20">
        <v>1.0</v>
      </c>
      <c r="DG17" s="20">
        <v>1.0</v>
      </c>
      <c r="DH17" s="20" t="s">
        <v>168</v>
      </c>
      <c r="DI17" s="20">
        <v>1.0</v>
      </c>
      <c r="DJ17" s="20">
        <v>1.0</v>
      </c>
      <c r="DK17" s="20">
        <v>1.0</v>
      </c>
      <c r="DL17" s="20" t="s">
        <v>659</v>
      </c>
      <c r="DM17" s="20" t="s">
        <v>186</v>
      </c>
    </row>
    <row r="18" hidden="1">
      <c r="A18" s="5" t="s">
        <v>17</v>
      </c>
      <c r="B18" s="10" t="s">
        <v>20</v>
      </c>
      <c r="C18" s="12" t="s">
        <v>660</v>
      </c>
      <c r="D18" s="12" t="s">
        <v>661</v>
      </c>
      <c r="E18" s="12" t="s">
        <v>662</v>
      </c>
      <c r="F18" s="12" t="s">
        <v>663</v>
      </c>
      <c r="G18" s="12" t="s">
        <v>664</v>
      </c>
      <c r="H18" s="12" t="s">
        <v>665</v>
      </c>
      <c r="I18" s="14"/>
      <c r="J18" s="13"/>
      <c r="K18" s="15"/>
      <c r="L18" s="17" t="s">
        <v>147</v>
      </c>
      <c r="M18" s="17" t="s">
        <v>159</v>
      </c>
      <c r="N18" s="21">
        <v>3000.0</v>
      </c>
      <c r="O18" s="21">
        <v>3000.0</v>
      </c>
      <c r="P18" s="21">
        <v>3000.0</v>
      </c>
      <c r="Q18" s="20" t="s">
        <v>168</v>
      </c>
      <c r="R18" s="20" t="s">
        <v>168</v>
      </c>
      <c r="S18" s="20" t="s">
        <v>168</v>
      </c>
      <c r="T18" s="21">
        <v>3000.0</v>
      </c>
      <c r="U18" s="21">
        <v>3000.0</v>
      </c>
      <c r="V18" s="21">
        <v>150000.0</v>
      </c>
      <c r="W18" s="15"/>
      <c r="X18" s="20">
        <v>8.5437099E7</v>
      </c>
      <c r="Y18" s="20" t="s">
        <v>186</v>
      </c>
      <c r="Z18" s="20" t="s">
        <v>188</v>
      </c>
      <c r="AA18" s="16" t="s">
        <v>191</v>
      </c>
      <c r="AB18" s="20" t="s">
        <v>193</v>
      </c>
      <c r="AC18" s="20" t="s">
        <v>195</v>
      </c>
      <c r="AD18" s="20" t="s">
        <v>168</v>
      </c>
      <c r="AE18" s="20" t="s">
        <v>212</v>
      </c>
      <c r="AF18" s="16" t="s">
        <v>214</v>
      </c>
      <c r="AG18" s="20" t="s">
        <v>220</v>
      </c>
      <c r="AH18" s="20" t="s">
        <v>229</v>
      </c>
      <c r="AI18" s="20" t="s">
        <v>168</v>
      </c>
      <c r="AJ18" s="20" t="s">
        <v>168</v>
      </c>
      <c r="AK18" s="16">
        <v>0.258</v>
      </c>
      <c r="AL18" s="20" t="s">
        <v>242</v>
      </c>
      <c r="AM18" s="16" t="s">
        <v>249</v>
      </c>
      <c r="AN18" s="16" t="s">
        <v>263</v>
      </c>
      <c r="AO18" s="20" t="s">
        <v>271</v>
      </c>
      <c r="AP18" s="16" t="s">
        <v>282</v>
      </c>
      <c r="AQ18" s="20" t="s">
        <v>284</v>
      </c>
      <c r="AR18" s="20" t="s">
        <v>290</v>
      </c>
      <c r="AS18" s="20" t="s">
        <v>294</v>
      </c>
      <c r="AT18" s="20" t="s">
        <v>296</v>
      </c>
      <c r="AU18" s="20" t="s">
        <v>308</v>
      </c>
      <c r="AV18" s="20" t="s">
        <v>316</v>
      </c>
      <c r="AW18" s="16" t="s">
        <v>327</v>
      </c>
      <c r="AX18" s="16" t="s">
        <v>332</v>
      </c>
      <c r="AY18" s="20" t="s">
        <v>335</v>
      </c>
      <c r="AZ18" s="20" t="s">
        <v>345</v>
      </c>
      <c r="BA18" s="20" t="s">
        <v>357</v>
      </c>
      <c r="BB18" s="20" t="s">
        <v>360</v>
      </c>
      <c r="BC18" s="24" t="s">
        <v>362</v>
      </c>
      <c r="BD18" s="16" t="s">
        <v>370</v>
      </c>
      <c r="BE18" s="20" t="s">
        <v>372</v>
      </c>
      <c r="BF18" s="20" t="s">
        <v>375</v>
      </c>
      <c r="BG18" s="16" t="s">
        <v>191</v>
      </c>
      <c r="BH18" s="25" t="s">
        <v>186</v>
      </c>
      <c r="BI18" s="20" t="s">
        <v>383</v>
      </c>
      <c r="BJ18" s="16" t="s">
        <v>386</v>
      </c>
      <c r="BK18" s="20" t="s">
        <v>168</v>
      </c>
      <c r="BL18" s="20" t="s">
        <v>168</v>
      </c>
      <c r="BM18" s="20" t="s">
        <v>391</v>
      </c>
      <c r="BN18" s="20" t="s">
        <v>395</v>
      </c>
      <c r="BO18" s="20" t="s">
        <v>186</v>
      </c>
      <c r="BP18" s="20" t="s">
        <v>186</v>
      </c>
      <c r="BQ18" s="20" t="s">
        <v>400</v>
      </c>
      <c r="BR18" s="21" t="s">
        <v>404</v>
      </c>
      <c r="BS18" s="21">
        <v>100000.0</v>
      </c>
      <c r="BT18" s="16" t="s">
        <v>186</v>
      </c>
      <c r="BU18" s="16" t="s">
        <v>168</v>
      </c>
      <c r="BV18" s="16" t="s">
        <v>409</v>
      </c>
      <c r="BW18" s="16" t="s">
        <v>414</v>
      </c>
      <c r="BX18" s="16" t="s">
        <v>418</v>
      </c>
      <c r="BY18" s="20" t="s">
        <v>428</v>
      </c>
      <c r="BZ18" s="16" t="s">
        <v>430</v>
      </c>
      <c r="CA18" s="16" t="s">
        <v>432</v>
      </c>
      <c r="CB18" s="16" t="s">
        <v>414</v>
      </c>
      <c r="CC18" s="16" t="s">
        <v>438</v>
      </c>
      <c r="CD18" s="16" t="s">
        <v>168</v>
      </c>
      <c r="CE18" s="16" t="s">
        <v>168</v>
      </c>
      <c r="CF18" s="16" t="s">
        <v>168</v>
      </c>
      <c r="CG18" s="16" t="s">
        <v>168</v>
      </c>
      <c r="CH18" s="20" t="s">
        <v>186</v>
      </c>
      <c r="CI18" s="20" t="s">
        <v>451</v>
      </c>
      <c r="CJ18" s="20" t="s">
        <v>462</v>
      </c>
      <c r="CK18" s="20" t="s">
        <v>464</v>
      </c>
      <c r="CL18" s="20" t="s">
        <v>191</v>
      </c>
      <c r="CM18" s="20" t="s">
        <v>186</v>
      </c>
      <c r="CN18" s="20" t="s">
        <v>191</v>
      </c>
      <c r="CO18" s="20" t="s">
        <v>186</v>
      </c>
      <c r="CP18" s="20" t="s">
        <v>186</v>
      </c>
      <c r="CQ18" s="20" t="s">
        <v>186</v>
      </c>
      <c r="CR18" s="20" t="s">
        <v>473</v>
      </c>
      <c r="CS18" s="20" t="s">
        <v>478</v>
      </c>
      <c r="CT18" s="20" t="s">
        <v>191</v>
      </c>
      <c r="CU18" s="20" t="s">
        <v>191</v>
      </c>
      <c r="CV18" s="20" t="s">
        <v>186</v>
      </c>
      <c r="CW18" s="20" t="s">
        <v>186</v>
      </c>
      <c r="CX18" s="20" t="s">
        <v>186</v>
      </c>
      <c r="CY18" s="20" t="s">
        <v>488</v>
      </c>
      <c r="CZ18" s="20" t="s">
        <v>168</v>
      </c>
      <c r="DA18" s="20" t="s">
        <v>168</v>
      </c>
      <c r="DB18" s="20" t="s">
        <v>168</v>
      </c>
      <c r="DC18" s="20" t="s">
        <v>168</v>
      </c>
      <c r="DD18" s="20" t="s">
        <v>168</v>
      </c>
      <c r="DE18" s="20">
        <v>1.0</v>
      </c>
      <c r="DF18" s="20">
        <v>1.0</v>
      </c>
      <c r="DG18" s="20" t="s">
        <v>168</v>
      </c>
      <c r="DH18" s="20" t="s">
        <v>168</v>
      </c>
      <c r="DI18" s="20">
        <v>1.0</v>
      </c>
      <c r="DJ18" s="20">
        <v>1.0</v>
      </c>
      <c r="DK18" s="20">
        <v>1.0</v>
      </c>
      <c r="DL18" s="17"/>
      <c r="DM18" s="20" t="s">
        <v>186</v>
      </c>
    </row>
  </sheetData>
  <autoFilter ref="$A$2:$DM$18">
    <filterColumn colId="32">
      <filters>
        <filter val="-30°C a 60°C"/>
      </filters>
    </filterColumn>
  </autoFilter>
  <hyperlinks>
    <hyperlink r:id="rId1" ref="C3"/>
    <hyperlink r:id="rId2" ref="D3"/>
    <hyperlink r:id="rId3" ref="E3"/>
    <hyperlink r:id="rId4" ref="F3"/>
    <hyperlink r:id="rId5" ref="G3"/>
    <hyperlink r:id="rId6" ref="H3"/>
    <hyperlink r:id="rId7" ref="I3"/>
    <hyperlink r:id="rId8" ref="J3"/>
    <hyperlink display="Z-ID" location="'Z-ID'!A1" ref="BC3"/>
    <hyperlink r:id="rId9" ref="C4"/>
    <hyperlink r:id="rId10" ref="D4"/>
    <hyperlink r:id="rId11" ref="E4"/>
    <hyperlink r:id="rId12" ref="F4"/>
    <hyperlink r:id="rId13" ref="G4"/>
    <hyperlink r:id="rId14" ref="H4"/>
    <hyperlink r:id="rId15" ref="J4"/>
    <hyperlink r:id="rId16" ref="C5"/>
    <hyperlink r:id="rId17" ref="D5"/>
    <hyperlink r:id="rId18" ref="E5"/>
    <hyperlink r:id="rId19" ref="F5"/>
    <hyperlink r:id="rId20" ref="H5"/>
    <hyperlink r:id="rId21" ref="I5"/>
    <hyperlink r:id="rId22" ref="J5"/>
    <hyperlink r:id="rId23" ref="C6"/>
    <hyperlink r:id="rId24" ref="D6"/>
    <hyperlink r:id="rId25" ref="E6"/>
    <hyperlink r:id="rId26" ref="F6"/>
    <hyperlink display="Z-ID" location="'Z-ID'!A1" ref="BC6"/>
    <hyperlink r:id="rId27" ref="C7"/>
    <hyperlink r:id="rId28" ref="D7"/>
    <hyperlink r:id="rId29" ref="E7"/>
    <hyperlink r:id="rId30" ref="F7"/>
    <hyperlink r:id="rId31" ref="H7"/>
    <hyperlink r:id="rId32" ref="I7"/>
    <hyperlink r:id="rId33" ref="J7"/>
    <hyperlink r:id="rId34" ref="C8"/>
    <hyperlink r:id="rId35" ref="D8"/>
    <hyperlink r:id="rId36" ref="E8"/>
    <hyperlink r:id="rId37" ref="F8"/>
    <hyperlink r:id="rId38" ref="G8"/>
    <hyperlink r:id="rId39" ref="H8"/>
    <hyperlink r:id="rId40" ref="J8"/>
    <hyperlink display="Z-ID" location="'Z-ID'!A1" ref="BC8"/>
    <hyperlink r:id="rId41" ref="C9"/>
    <hyperlink r:id="rId42" ref="D9"/>
    <hyperlink r:id="rId43" ref="E9"/>
    <hyperlink r:id="rId44" ref="F9"/>
    <hyperlink display="Z-ID" location="'Z-ID'!A1" ref="BC9"/>
    <hyperlink r:id="rId45" ref="C10"/>
    <hyperlink r:id="rId46" ref="D10"/>
    <hyperlink r:id="rId47" ref="E10"/>
    <hyperlink r:id="rId48" ref="F10"/>
    <hyperlink r:id="rId49" ref="G10"/>
    <hyperlink r:id="rId50" ref="H10"/>
    <hyperlink r:id="rId51" ref="J10"/>
    <hyperlink r:id="rId52" ref="C11"/>
    <hyperlink r:id="rId53" ref="D11"/>
    <hyperlink r:id="rId54" ref="E11"/>
    <hyperlink r:id="rId55" ref="F11"/>
    <hyperlink r:id="rId56" ref="C12"/>
    <hyperlink r:id="rId57" ref="D12"/>
    <hyperlink r:id="rId58" ref="E12"/>
    <hyperlink r:id="rId59" ref="F12"/>
    <hyperlink r:id="rId60" ref="G12"/>
    <hyperlink r:id="rId61" ref="J12"/>
    <hyperlink r:id="rId62" ref="C13"/>
    <hyperlink r:id="rId63" ref="D13"/>
    <hyperlink r:id="rId64" ref="G13"/>
    <hyperlink r:id="rId65" ref="H13"/>
    <hyperlink r:id="rId66" ref="I13"/>
    <hyperlink r:id="rId67" ref="J13"/>
    <hyperlink r:id="rId68" ref="C14"/>
    <hyperlink r:id="rId69" ref="D14"/>
    <hyperlink r:id="rId70" ref="E14"/>
    <hyperlink r:id="rId71" ref="F14"/>
    <hyperlink r:id="rId72" ref="G14"/>
    <hyperlink r:id="rId73" ref="H14"/>
    <hyperlink r:id="rId74" ref="J14"/>
    <hyperlink r:id="rId75" ref="C15"/>
    <hyperlink r:id="rId76" ref="D15"/>
    <hyperlink r:id="rId77" ref="E15"/>
    <hyperlink r:id="rId78" ref="F15"/>
    <hyperlink r:id="rId79" ref="G15"/>
    <hyperlink r:id="rId80" ref="H15"/>
    <hyperlink display="Z-ID" location="'Z-ID'!A1" ref="BC15"/>
    <hyperlink r:id="rId81" ref="C16"/>
    <hyperlink r:id="rId82" ref="D16"/>
    <hyperlink r:id="rId83" ref="E16"/>
    <hyperlink r:id="rId84" ref="F16"/>
    <hyperlink r:id="rId85" ref="G16"/>
    <hyperlink r:id="rId86" ref="H16"/>
    <hyperlink display="Z-ID" location="'Z-ID'!A1" ref="BC16"/>
    <hyperlink r:id="rId87" ref="C17"/>
    <hyperlink r:id="rId88" ref="D17"/>
    <hyperlink r:id="rId89" ref="E17"/>
    <hyperlink r:id="rId90" ref="F17"/>
    <hyperlink r:id="rId91" ref="G17"/>
    <hyperlink r:id="rId92" ref="H17"/>
    <hyperlink display="Z-ID" location="'Z-ID'!A1" ref="BC17"/>
    <hyperlink r:id="rId93" ref="C18"/>
    <hyperlink r:id="rId94" ref="D18"/>
    <hyperlink r:id="rId95" ref="E18"/>
    <hyperlink r:id="rId96" ref="F18"/>
    <hyperlink r:id="rId97" ref="G18"/>
    <hyperlink r:id="rId98" ref="H18"/>
    <hyperlink display="Z-ID" location="'Z-ID'!A1" ref="BC18"/>
  </hyperlinks>
  <drawing r:id="rId9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5.13"/>
    <col customWidth="1" min="2" max="2" width="56.0"/>
    <col customWidth="1" min="3" max="3" width="30.38"/>
  </cols>
  <sheetData>
    <row r="1" ht="93.0" customHeight="1">
      <c r="A1" s="29"/>
      <c r="E1" s="28" t="s">
        <v>666</v>
      </c>
    </row>
    <row r="2">
      <c r="A2" s="38" t="s">
        <v>667</v>
      </c>
      <c r="B2" s="39"/>
    </row>
    <row r="3">
      <c r="A3" s="40"/>
      <c r="B3" s="39"/>
    </row>
    <row r="4">
      <c r="A4" s="38" t="s">
        <v>668</v>
      </c>
      <c r="B4" s="39"/>
    </row>
    <row r="5">
      <c r="A5" s="40"/>
      <c r="B5" s="39"/>
    </row>
    <row r="6">
      <c r="A6" s="38" t="s">
        <v>669</v>
      </c>
      <c r="B6" s="39"/>
      <c r="C6" s="38" t="s">
        <v>16</v>
      </c>
    </row>
    <row r="7">
      <c r="A7" s="41" t="s">
        <v>670</v>
      </c>
    </row>
    <row r="8">
      <c r="B8" s="39"/>
    </row>
    <row r="9">
      <c r="A9" s="38" t="s">
        <v>671</v>
      </c>
      <c r="B9" s="39"/>
    </row>
    <row r="10">
      <c r="A10" s="42" t="s">
        <v>672</v>
      </c>
    </row>
    <row r="12">
      <c r="A12" s="38" t="s">
        <v>673</v>
      </c>
      <c r="B12" s="39"/>
    </row>
    <row r="13">
      <c r="A13" s="40"/>
      <c r="B13" s="39"/>
    </row>
    <row r="14">
      <c r="A14" s="38" t="s">
        <v>674</v>
      </c>
      <c r="B14" s="39"/>
    </row>
    <row r="15">
      <c r="B15" s="39"/>
    </row>
    <row r="16">
      <c r="A16" s="43" t="s">
        <v>675</v>
      </c>
      <c r="B16" s="44" t="s">
        <v>676</v>
      </c>
      <c r="C16" s="45"/>
    </row>
    <row r="17">
      <c r="A17" s="36" t="s">
        <v>677</v>
      </c>
      <c r="B17" s="46" t="str">
        <f>"ZKTeco "&amp;C6</f>
        <v>ZKTeco SenseFace 3A</v>
      </c>
      <c r="C17" s="45"/>
    </row>
    <row r="18">
      <c r="A18" s="36" t="s">
        <v>678</v>
      </c>
      <c r="B18" s="46" t="s">
        <v>679</v>
      </c>
      <c r="C18" s="45"/>
    </row>
    <row r="19">
      <c r="A19" s="36" t="str">
        <f>'Especificações faciais-H'!A49</f>
        <v>CPU</v>
      </c>
      <c r="B19" s="46" t="str">
        <f>VLOOKUP($C$6,'Especificações faciais-V'!$A$3:$DK$18,43,0)</f>
        <v>1 GHz Dual Core</v>
      </c>
      <c r="C19" s="45"/>
      <c r="D19" s="47"/>
    </row>
    <row r="20">
      <c r="A20" s="36" t="str">
        <f>'Especificações faciais-H'!A50</f>
        <v>Sistema Operacional</v>
      </c>
      <c r="B20" s="46" t="str">
        <f>VLOOKUP($C$6,'Especificações faciais-V'!$A$3:$DK$18,44,0)</f>
        <v>Linux embarcado</v>
      </c>
      <c r="C20" s="45"/>
      <c r="D20" s="47"/>
    </row>
    <row r="21">
      <c r="A21" s="36" t="s">
        <v>680</v>
      </c>
      <c r="B21" s="46" t="str">
        <f>VLOOKUP($C$6,'Especificações faciais-V'!$A$3:$DK$18,45,0)</f>
        <v>512MB</v>
      </c>
      <c r="C21" s="45"/>
      <c r="D21" s="47"/>
    </row>
    <row r="22">
      <c r="A22" s="36" t="s">
        <v>681</v>
      </c>
      <c r="B22" s="46" t="str">
        <f>VLOOKUP($C$6,'Especificações faciais-V'!$A$3:$DK$18,46,0)</f>
        <v>8GB</v>
      </c>
      <c r="C22" s="45"/>
      <c r="D22" s="47"/>
    </row>
    <row r="23">
      <c r="A23" s="36" t="s">
        <v>403</v>
      </c>
      <c r="B23" s="48" t="str">
        <f>VLOOKUP($C$6,'Especificações faciais-V'!$A$3:$DK$18,70,0)</f>
        <v>Algoritmo de inteligência artificial (IA) e reconhecimento facial vivo (liveness detection) para prevenir fraudes com fotos ou vídeos.</v>
      </c>
      <c r="C23" s="45"/>
      <c r="D23" s="49"/>
    </row>
    <row r="24">
      <c r="A24" s="36" t="s">
        <v>161</v>
      </c>
      <c r="B24" s="48">
        <f>VLOOKUP($C$6,'Especificações faciais-V'!$A$3:$DK$18,14,0)</f>
        <v>6000</v>
      </c>
      <c r="C24" s="45"/>
      <c r="D24" s="49"/>
    </row>
    <row r="25">
      <c r="A25" s="36" t="s">
        <v>165</v>
      </c>
      <c r="B25" s="48">
        <f>VLOOKUP($C$6,'Especificações faciais-V'!$A$3:$DK$18,15,0)</f>
        <v>4000</v>
      </c>
      <c r="C25" s="45"/>
      <c r="D25" s="49"/>
    </row>
    <row r="26">
      <c r="A26" s="36" t="s">
        <v>169</v>
      </c>
      <c r="B26" s="48">
        <f>VLOOKUP($C$6,'Especificações faciais-V'!$A$3:$DK$18,16,0)</f>
        <v>3000</v>
      </c>
      <c r="C26" s="45"/>
      <c r="D26" s="49"/>
    </row>
    <row r="27">
      <c r="A27" s="36" t="s">
        <v>171</v>
      </c>
      <c r="B27" s="46" t="str">
        <f>VLOOKUP($C$6,'Especificações faciais-V'!$A$3:$DK$18,17,0)</f>
        <v>N/A</v>
      </c>
      <c r="C27" s="45"/>
      <c r="D27" s="49"/>
    </row>
    <row r="28">
      <c r="A28" s="36" t="s">
        <v>174</v>
      </c>
      <c r="B28" s="46" t="str">
        <f>VLOOKUP($C$6,'Especificações faciais-V'!$A$3:$DK$18,18,0)</f>
        <v>N/A</v>
      </c>
      <c r="C28" s="45"/>
      <c r="D28" s="49"/>
    </row>
    <row r="29">
      <c r="A29" s="36" t="s">
        <v>175</v>
      </c>
      <c r="B29" s="48">
        <f>VLOOKUP($C$6,'Especificações faciais-V'!$A$3:$DK$18,19,0)</f>
        <v>6000</v>
      </c>
      <c r="C29" s="45"/>
      <c r="D29" s="49"/>
      <c r="E29" s="28" t="s">
        <v>682</v>
      </c>
    </row>
    <row r="30">
      <c r="A30" s="36" t="s">
        <v>177</v>
      </c>
      <c r="B30" s="48">
        <f>VLOOKUP($C$6,'Especificações faciais-V'!$A$3:$DK$18,20,0)</f>
        <v>6000</v>
      </c>
      <c r="C30" s="45"/>
      <c r="D30" s="49"/>
    </row>
    <row r="31">
      <c r="A31" s="36" t="s">
        <v>178</v>
      </c>
      <c r="B31" s="48">
        <f>VLOOKUP($C$6,'Especificações faciais-V'!$A$3:$DK$18,21,0)</f>
        <v>6000</v>
      </c>
      <c r="C31" s="45"/>
      <c r="D31" s="49"/>
    </row>
    <row r="32">
      <c r="A32" s="36" t="s">
        <v>179</v>
      </c>
      <c r="B32" s="48">
        <f>VLOOKUP($C$6,'Especificações faciais-V'!$A$3:$DK$18,22,0)</f>
        <v>150000</v>
      </c>
      <c r="C32" s="45"/>
      <c r="D32" s="50"/>
    </row>
    <row r="33">
      <c r="A33" s="36" t="s">
        <v>683</v>
      </c>
      <c r="B33" s="46" t="s">
        <v>684</v>
      </c>
      <c r="C33" s="45"/>
    </row>
    <row r="34">
      <c r="A34" s="36" t="s">
        <v>328</v>
      </c>
      <c r="B34" s="46" t="str">
        <f>VLOOKUP($C$6,'Especificações faciais-V'!$A$3:$DK$18,50,0)</f>
        <v>Camera Binocular 1MP (WDR)</v>
      </c>
      <c r="C34" s="45"/>
    </row>
    <row r="35">
      <c r="A35" s="36" t="s">
        <v>333</v>
      </c>
      <c r="B35" s="46" t="str">
        <f>VLOOKUP($C$6,'Especificações faciais-V'!$A$3:$DK$18,51,0)</f>
        <v>Autocompensação de LEDs IR</v>
      </c>
      <c r="C35" s="45"/>
    </row>
    <row r="36">
      <c r="A36" s="36" t="s">
        <v>363</v>
      </c>
      <c r="B36" s="46" t="str">
        <f>VLOOKUP($C$6,'Especificações faciais-V'!$A$3:$DK$18,56,0)</f>
        <v>83 dB linear mode</v>
      </c>
      <c r="C36" s="45"/>
    </row>
    <row r="37">
      <c r="A37" s="36" t="s">
        <v>405</v>
      </c>
      <c r="B37" s="48">
        <f>VLOOKUP($C$6,'Especificações faciais-V'!$A$3:$DK$18,71,0)</f>
        <v>100000</v>
      </c>
      <c r="C37" s="45"/>
    </row>
    <row r="38">
      <c r="A38" s="36" t="s">
        <v>399</v>
      </c>
      <c r="B38" s="46" t="str">
        <f>VLOOKUP($C$6,'Especificações faciais-V'!$A$3:$DK$18,69,0)</f>
        <v>Luz visível</v>
      </c>
      <c r="C38" s="45"/>
    </row>
    <row r="39">
      <c r="A39" s="36" t="s">
        <v>408</v>
      </c>
      <c r="B39" s="46" t="str">
        <f>VLOOKUP($C$6,'Especificações faciais-V'!$A$3:$DK$18,74,0)</f>
        <v>30cm a 200cm</v>
      </c>
      <c r="C39" s="45"/>
    </row>
    <row r="40">
      <c r="A40" s="36" t="s">
        <v>413</v>
      </c>
      <c r="B40" s="46" t="str">
        <f>VLOOKUP($C$6,'Especificações faciais-V'!$A$3:$DK$18,75,0)</f>
        <v>≤ 0.01%</v>
      </c>
      <c r="C40" s="45"/>
    </row>
    <row r="41">
      <c r="A41" s="36" t="s">
        <v>417</v>
      </c>
      <c r="B41" s="46" t="str">
        <f>VLOOKUP($C$6,'Especificações faciais-V'!$A$3:$DK$18,76,0)</f>
        <v>≤ 0.02%</v>
      </c>
      <c r="C41" s="45"/>
    </row>
    <row r="42">
      <c r="A42" s="36" t="s">
        <v>431</v>
      </c>
      <c r="B42" s="46" t="str">
        <f>VLOOKUP($C$6,'Especificações faciais-V'!$A$3:$DK$18,79,0)</f>
        <v>≤ 0.0001%</v>
      </c>
      <c r="C42" s="45"/>
    </row>
    <row r="43">
      <c r="A43" s="36" t="s">
        <v>434</v>
      </c>
      <c r="B43" s="46" t="str">
        <f>VLOOKUP($C$6,'Especificações faciais-V'!$A$3:$DK$18,80,0)</f>
        <v>≤ 0.01%</v>
      </c>
      <c r="C43" s="45"/>
    </row>
    <row r="44">
      <c r="A44" s="36" t="s">
        <v>421</v>
      </c>
      <c r="B44" s="46" t="str">
        <f>VLOOKUP($C$6,'Especificações faciais-V'!$A$3:$DK$18,77,0)</f>
        <v>0.35s</v>
      </c>
      <c r="C44" s="45"/>
    </row>
    <row r="45">
      <c r="A45" s="36" t="s">
        <v>435</v>
      </c>
      <c r="B45" s="46" t="str">
        <f>VLOOKUP($C$6,'Especificações faciais-V'!$A$3:$DK$18,81,0)</f>
        <v>&lt; 0.5 s</v>
      </c>
      <c r="C45" s="45"/>
    </row>
    <row r="46">
      <c r="A46" s="36"/>
      <c r="B46" s="46"/>
      <c r="C46" s="45"/>
    </row>
    <row r="47">
      <c r="A47" s="36" t="s">
        <v>213</v>
      </c>
      <c r="B47" s="46" t="str">
        <f>VLOOKUP($C$6,'Especificações faciais-V'!$A$3:$DK$18,32,0)</f>
        <v>36W</v>
      </c>
      <c r="C47" s="45"/>
    </row>
    <row r="48">
      <c r="A48" s="51" t="s">
        <v>216</v>
      </c>
      <c r="B48" s="46" t="str">
        <f>VLOOKUP($C$6,'Especificações faciais-V'!$A$3:$DK$18,33,0)</f>
        <v>-5°C a 45°C</v>
      </c>
      <c r="C48" s="45"/>
    </row>
    <row r="49">
      <c r="A49" s="51" t="s">
        <v>225</v>
      </c>
      <c r="B49" s="46" t="str">
        <f>VLOOKUP($C$6,'Especificações faciais-V'!$A$3:$DK$18,34,0)</f>
        <v>10% a 90%</v>
      </c>
      <c r="C49" s="45"/>
    </row>
    <row r="50">
      <c r="A50" s="36" t="s">
        <v>230</v>
      </c>
      <c r="B50" s="46" t="str">
        <f>VLOOKUP($C$6,'Especificações faciais-V'!$A$3:$DK$18,35,0)</f>
        <v>IP65</v>
      </c>
      <c r="C50" s="45"/>
    </row>
    <row r="51">
      <c r="A51" s="36" t="s">
        <v>241</v>
      </c>
      <c r="B51" s="46" t="str">
        <f>VLOOKUP($C$6,'Especificações faciais-V'!$A$3:$DK$18,38,0)</f>
        <v>Interno e externo</v>
      </c>
      <c r="C51" s="45"/>
    </row>
    <row r="52">
      <c r="A52" s="36" t="s">
        <v>289</v>
      </c>
      <c r="B52" s="46" t="str">
        <f>VLOOKUP($C$6,'Especificações faciais-V'!$A$3:$DK$18,44,0)</f>
        <v>Linux embarcado</v>
      </c>
      <c r="C52" s="45"/>
    </row>
    <row r="53">
      <c r="A53" s="51" t="s">
        <v>298</v>
      </c>
      <c r="B53" s="46" t="str">
        <f>VLOOKUP($C$6,'Especificações faciais-V'!$A$3:$DK$18,47,0)</f>
        <v>2.8 polegadas</v>
      </c>
      <c r="C53" s="45"/>
    </row>
    <row r="54">
      <c r="A54" s="36" t="s">
        <v>309</v>
      </c>
      <c r="B54" s="46" t="str">
        <f>VLOOKUP($C$6,'Especificações faciais-V'!$A$3:$DK$18,48,0)</f>
        <v>Tela LED sensível ao toque TFT colorida</v>
      </c>
      <c r="C54" s="45"/>
    </row>
    <row r="55">
      <c r="A55" s="36" t="s">
        <v>317</v>
      </c>
      <c r="B55" s="46" t="str">
        <f>VLOOKUP($C$6,'Especificações faciais-V'!$A$3:$DK$18,49,0)</f>
        <v>240*320</v>
      </c>
      <c r="C55" s="45"/>
    </row>
    <row r="56">
      <c r="A56" s="36" t="s">
        <v>465</v>
      </c>
      <c r="B56" s="46" t="str">
        <f>VLOOKUP($C$6,'Especificações faciais-V'!$A$3:$DK$18,90,0)</f>
        <v>Wiegand ou RS-485</v>
      </c>
      <c r="C56" s="45"/>
    </row>
    <row r="57">
      <c r="A57" s="36" t="s">
        <v>490</v>
      </c>
      <c r="B57" s="46">
        <f>VLOOKUP($C$6,'Especificações faciais-V'!$A$3:$DK$18,104,0)</f>
        <v>1</v>
      </c>
      <c r="C57" s="45"/>
    </row>
    <row r="58">
      <c r="A58" s="36" t="s">
        <v>492</v>
      </c>
      <c r="B58" s="46">
        <f>VLOOKUP($C$6,'Especificações faciais-V'!$A$3:$DK$18,106,0)</f>
        <v>1</v>
      </c>
      <c r="C58" s="45"/>
    </row>
    <row r="59">
      <c r="A59" s="36" t="s">
        <v>494</v>
      </c>
      <c r="B59" s="46" t="str">
        <f>VLOOKUP($C$6,'Especificações faciais-V'!$A$3:$DK$18,108,0)</f>
        <v>1 (saída ou entrada)</v>
      </c>
      <c r="C59" s="45"/>
    </row>
    <row r="60">
      <c r="A60" s="36" t="s">
        <v>497</v>
      </c>
      <c r="B60" s="46">
        <f>VLOOKUP($C$6,'Especificações faciais-V'!$A$3:$DK$18,109,0)</f>
        <v>1</v>
      </c>
      <c r="C60" s="45"/>
    </row>
    <row r="61">
      <c r="A61" s="36" t="s">
        <v>565</v>
      </c>
      <c r="B61" s="46" t="str">
        <f>VLOOKUP($C$6,'Especificações faciais-V'!$A$3:$DM$18,117,0)</f>
        <v>Sim</v>
      </c>
      <c r="C61" s="45"/>
    </row>
    <row r="62">
      <c r="A62" s="36" t="s">
        <v>480</v>
      </c>
      <c r="B62" s="46">
        <f>VLOOKUP($C$6,'Especificações faciais-V'!$A$3:$DK$18,111,0)</f>
        <v>1</v>
      </c>
      <c r="C62" s="45"/>
    </row>
    <row r="63">
      <c r="A63" s="36" t="s">
        <v>499</v>
      </c>
      <c r="B63" s="46">
        <f>VLOOKUP($C$6,'Especificações faciais-V'!$A$3:$DK$18,113,0)</f>
        <v>1</v>
      </c>
      <c r="C63" s="45"/>
    </row>
    <row r="64">
      <c r="A64" s="36" t="s">
        <v>500</v>
      </c>
      <c r="B64" s="46">
        <f>VLOOKUP($C$6,'Especificações faciais-V'!$A$3:$DK$18,114,0)</f>
        <v>1</v>
      </c>
      <c r="C64" s="45"/>
    </row>
    <row r="65">
      <c r="A65" s="36" t="s">
        <v>501</v>
      </c>
      <c r="B65" s="46">
        <f>VLOOKUP($C$6,'Especificações faciais-V'!$A$3:$DK$18,115,0)</f>
        <v>1</v>
      </c>
      <c r="C65" s="45"/>
    </row>
    <row r="66">
      <c r="A66" s="36" t="s">
        <v>246</v>
      </c>
      <c r="B66" s="46" t="str">
        <f>VLOOKUP($C$6,'Especificações faciais-V'!$A$3:$DL$18,116,0)</f>
        <v>ISO14001, ISO9001,CE, FCC, RoHS</v>
      </c>
      <c r="C66" s="45"/>
    </row>
    <row r="67">
      <c r="A67" s="52" t="s">
        <v>685</v>
      </c>
      <c r="B67" s="46" t="s">
        <v>686</v>
      </c>
      <c r="C67" s="45"/>
    </row>
    <row r="68">
      <c r="A68" s="53"/>
      <c r="B68" s="46" t="s">
        <v>687</v>
      </c>
      <c r="C68" s="45"/>
    </row>
    <row r="69">
      <c r="A69" s="54"/>
      <c r="B69" s="46" t="s">
        <v>688</v>
      </c>
      <c r="C69" s="45"/>
    </row>
    <row r="70">
      <c r="B70" s="39"/>
    </row>
    <row r="71">
      <c r="A71" s="38" t="s">
        <v>689</v>
      </c>
      <c r="B71" s="39"/>
    </row>
    <row r="72">
      <c r="A72" s="28" t="s">
        <v>690</v>
      </c>
      <c r="B72" s="39"/>
    </row>
    <row r="73">
      <c r="A73" s="28" t="s">
        <v>691</v>
      </c>
      <c r="B73" s="39"/>
    </row>
    <row r="74">
      <c r="A74" s="28" t="s">
        <v>692</v>
      </c>
      <c r="B74" s="39"/>
    </row>
    <row r="75">
      <c r="A75" s="41" t="s">
        <v>693</v>
      </c>
    </row>
    <row r="76">
      <c r="A76" s="40"/>
      <c r="B76" s="39"/>
    </row>
    <row r="77">
      <c r="A77" s="38" t="s">
        <v>694</v>
      </c>
      <c r="B77" s="39"/>
    </row>
    <row r="78">
      <c r="A78" s="28" t="s">
        <v>695</v>
      </c>
      <c r="B78" s="39"/>
    </row>
    <row r="79">
      <c r="A79" s="28" t="s">
        <v>696</v>
      </c>
      <c r="B79" s="39"/>
    </row>
    <row r="80">
      <c r="A80" s="28" t="s">
        <v>697</v>
      </c>
      <c r="B80" s="39"/>
    </row>
    <row r="81">
      <c r="A81" s="28" t="s">
        <v>698</v>
      </c>
      <c r="B81" s="39"/>
    </row>
    <row r="82">
      <c r="A82" s="40"/>
      <c r="B82" s="39"/>
    </row>
    <row r="83">
      <c r="A83" s="38" t="s">
        <v>699</v>
      </c>
      <c r="B83" s="39"/>
    </row>
    <row r="84">
      <c r="A84" s="41" t="s">
        <v>700</v>
      </c>
    </row>
    <row r="85">
      <c r="A85" s="40"/>
      <c r="B85" s="39"/>
    </row>
    <row r="86">
      <c r="A86" s="38" t="s">
        <v>701</v>
      </c>
      <c r="B86" s="39"/>
    </row>
    <row r="87">
      <c r="A87" s="41" t="s">
        <v>702</v>
      </c>
    </row>
    <row r="88">
      <c r="A88" s="40"/>
      <c r="B88" s="39"/>
    </row>
    <row r="89">
      <c r="A89" s="38" t="s">
        <v>703</v>
      </c>
      <c r="B89" s="39"/>
    </row>
    <row r="90">
      <c r="A90" s="41" t="s">
        <v>704</v>
      </c>
    </row>
    <row r="91">
      <c r="A91" s="40"/>
      <c r="B91" s="39"/>
    </row>
    <row r="92">
      <c r="A92" s="38" t="s">
        <v>705</v>
      </c>
      <c r="B92" s="39"/>
    </row>
    <row r="93">
      <c r="A93" s="38" t="s">
        <v>706</v>
      </c>
      <c r="B93" s="39"/>
    </row>
    <row r="94">
      <c r="B94" s="39"/>
    </row>
    <row r="95">
      <c r="B95" s="39"/>
    </row>
    <row r="96">
      <c r="A96" s="55" t="s">
        <v>707</v>
      </c>
      <c r="B96" s="39"/>
    </row>
    <row r="97">
      <c r="B97" s="56" t="s">
        <v>708</v>
      </c>
    </row>
    <row r="98">
      <c r="B98" s="56" t="s">
        <v>709</v>
      </c>
    </row>
    <row r="99">
      <c r="B99" s="56" t="s">
        <v>710</v>
      </c>
    </row>
    <row r="100">
      <c r="B100" s="56" t="s">
        <v>711</v>
      </c>
    </row>
    <row r="101">
      <c r="B101" s="57" t="s">
        <v>712</v>
      </c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</sheetData>
  <mergeCells count="62">
    <mergeCell ref="B68:C68"/>
    <mergeCell ref="B69:C69"/>
    <mergeCell ref="A75:C75"/>
    <mergeCell ref="A84:C84"/>
    <mergeCell ref="A87:C87"/>
    <mergeCell ref="A90:C90"/>
    <mergeCell ref="B62:C62"/>
    <mergeCell ref="B63:C63"/>
    <mergeCell ref="B64:C64"/>
    <mergeCell ref="B65:C65"/>
    <mergeCell ref="B66:C66"/>
    <mergeCell ref="A67:A69"/>
    <mergeCell ref="B67:C67"/>
    <mergeCell ref="A1:C1"/>
    <mergeCell ref="A7:C7"/>
    <mergeCell ref="A10:C1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</mergeCells>
  <dataValidations>
    <dataValidation type="list" allowBlank="1" showErrorMessage="1" sqref="C6">
      <formula1>'Especificações faciais-H'!$B$2:$Q$2</formula1>
    </dataValidation>
  </dataValidations>
  <hyperlinks>
    <hyperlink r:id="rId1" ref="B10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65.88"/>
    <col customWidth="1" min="3" max="3" width="25.5"/>
  </cols>
  <sheetData>
    <row r="1" ht="88.5" customHeight="1">
      <c r="A1" s="29"/>
    </row>
    <row r="2">
      <c r="A2" s="38" t="s">
        <v>667</v>
      </c>
      <c r="B2" s="39"/>
    </row>
    <row r="3">
      <c r="A3" s="40"/>
      <c r="B3" s="39"/>
    </row>
    <row r="4">
      <c r="A4" s="38" t="s">
        <v>668</v>
      </c>
      <c r="B4" s="39"/>
    </row>
    <row r="5">
      <c r="A5" s="40"/>
      <c r="B5" s="39"/>
    </row>
    <row r="6">
      <c r="A6" s="38" t="s">
        <v>713</v>
      </c>
      <c r="B6" s="39"/>
      <c r="C6" s="38" t="s">
        <v>16</v>
      </c>
    </row>
    <row r="7">
      <c r="A7" s="41" t="s">
        <v>670</v>
      </c>
    </row>
    <row r="8">
      <c r="B8" s="39"/>
    </row>
    <row r="9">
      <c r="A9" s="38" t="s">
        <v>671</v>
      </c>
      <c r="B9" s="39"/>
    </row>
    <row r="10">
      <c r="A10" s="42" t="s">
        <v>672</v>
      </c>
    </row>
    <row r="12">
      <c r="A12" s="38" t="s">
        <v>673</v>
      </c>
      <c r="B12" s="39"/>
    </row>
    <row r="13">
      <c r="A13" s="40"/>
      <c r="B13" s="39"/>
    </row>
    <row r="14">
      <c r="A14" s="38" t="s">
        <v>674</v>
      </c>
      <c r="B14" s="39"/>
    </row>
    <row r="15">
      <c r="B15" s="39"/>
    </row>
    <row r="16">
      <c r="A16" s="43" t="s">
        <v>675</v>
      </c>
      <c r="B16" s="44" t="s">
        <v>676</v>
      </c>
      <c r="C16" s="45"/>
    </row>
    <row r="17">
      <c r="A17" s="20" t="s">
        <v>677</v>
      </c>
      <c r="B17" s="46" t="str">
        <f>"ZKTeco "&amp;C6</f>
        <v>ZKTeco SenseFace 3A</v>
      </c>
      <c r="C17" s="45"/>
    </row>
    <row r="18">
      <c r="A18" s="20" t="s">
        <v>678</v>
      </c>
      <c r="B18" s="46" t="s">
        <v>714</v>
      </c>
      <c r="C18" s="45"/>
    </row>
    <row r="19">
      <c r="A19" s="20" t="str">
        <f>'Especificações faciais-H'!A49</f>
        <v>CPU</v>
      </c>
      <c r="B19" s="46" t="str">
        <f>VLOOKUP($C$6,'Especificações faciais-V'!$A$3:$DK$18,43,0)</f>
        <v>1 GHz Dual Core</v>
      </c>
      <c r="C19" s="45"/>
      <c r="D19" s="47"/>
    </row>
    <row r="20">
      <c r="A20" s="20" t="str">
        <f>'Especificações faciais-H'!A50</f>
        <v>Sistema Operacional</v>
      </c>
      <c r="B20" s="46" t="str">
        <f>VLOOKUP($C$6,'Especificações faciais-V'!$A$3:$DK$18,44,0)</f>
        <v>Linux embarcado</v>
      </c>
      <c r="C20" s="45"/>
      <c r="D20" s="47"/>
    </row>
    <row r="21">
      <c r="A21" s="20" t="s">
        <v>680</v>
      </c>
      <c r="B21" s="46" t="str">
        <f>VLOOKUP($C$6,'Especificações faciais-V'!$A$3:$DK$18,45,0)</f>
        <v>512MB</v>
      </c>
      <c r="C21" s="45"/>
      <c r="D21" s="47"/>
    </row>
    <row r="22">
      <c r="A22" s="20" t="s">
        <v>681</v>
      </c>
      <c r="B22" s="46" t="str">
        <f>VLOOKUP($C$6,'Especificações faciais-V'!$A$3:$DK$18,46,0)</f>
        <v>8GB</v>
      </c>
      <c r="C22" s="45"/>
      <c r="D22" s="47"/>
    </row>
    <row r="23">
      <c r="A23" s="20" t="s">
        <v>403</v>
      </c>
      <c r="B23" s="48" t="str">
        <f>VLOOKUP($C$6,'Especificações faciais-V'!$A$3:$DK$18,70,0)</f>
        <v>Algoritmo de inteligência artificial (IA) e reconhecimento facial vivo (liveness detection) para prevenir fraudes com fotos ou vídeos.</v>
      </c>
      <c r="C23" s="45"/>
      <c r="D23" s="49"/>
    </row>
    <row r="24">
      <c r="A24" s="20" t="s">
        <v>161</v>
      </c>
      <c r="B24" s="48">
        <f>VLOOKUP($C$6,'Especificações faciais-V'!$A$3:$DK$18,14,0)</f>
        <v>6000</v>
      </c>
      <c r="C24" s="45"/>
      <c r="D24" s="49"/>
    </row>
    <row r="25">
      <c r="A25" s="20" t="s">
        <v>165</v>
      </c>
      <c r="B25" s="48">
        <f>VLOOKUP($C$6,'Especificações faciais-V'!$A$3:$DK$18,15,0)</f>
        <v>4000</v>
      </c>
      <c r="C25" s="45"/>
      <c r="D25" s="49"/>
    </row>
    <row r="26">
      <c r="A26" s="20" t="s">
        <v>169</v>
      </c>
      <c r="B26" s="48">
        <f>VLOOKUP($C$6,'Especificações faciais-V'!$A$3:$DK$18,16,0)</f>
        <v>3000</v>
      </c>
      <c r="C26" s="45"/>
      <c r="D26" s="49"/>
    </row>
    <row r="27">
      <c r="A27" s="20" t="s">
        <v>171</v>
      </c>
      <c r="B27" s="46" t="str">
        <f>VLOOKUP($C$6,'Especificações faciais-V'!$A$3:$DK$18,17,0)</f>
        <v>N/A</v>
      </c>
      <c r="C27" s="45"/>
      <c r="D27" s="49"/>
    </row>
    <row r="28">
      <c r="A28" s="20" t="s">
        <v>174</v>
      </c>
      <c r="B28" s="46" t="str">
        <f>VLOOKUP($C$6,'Especificações faciais-V'!$A$3:$DK$18,18,0)</f>
        <v>N/A</v>
      </c>
      <c r="C28" s="45"/>
      <c r="D28" s="49"/>
    </row>
    <row r="29">
      <c r="A29" s="20" t="s">
        <v>175</v>
      </c>
      <c r="B29" s="48">
        <f>VLOOKUP($C$6,'Especificações faciais-V'!$A$3:$DK$18,19,0)</f>
        <v>6000</v>
      </c>
      <c r="C29" s="45"/>
      <c r="D29" s="49"/>
    </row>
    <row r="30">
      <c r="A30" s="20" t="s">
        <v>177</v>
      </c>
      <c r="B30" s="48">
        <f>VLOOKUP($C$6,'Especificações faciais-V'!$A$3:$DK$18,20,0)</f>
        <v>6000</v>
      </c>
      <c r="C30" s="45"/>
      <c r="D30" s="49"/>
    </row>
    <row r="31">
      <c r="A31" s="20" t="s">
        <v>178</v>
      </c>
      <c r="B31" s="48">
        <f>VLOOKUP($C$6,'Especificações faciais-V'!$A$3:$DK$18,21,0)</f>
        <v>6000</v>
      </c>
      <c r="C31" s="45"/>
      <c r="D31" s="49"/>
    </row>
    <row r="32">
      <c r="A32" s="20" t="s">
        <v>179</v>
      </c>
      <c r="B32" s="48">
        <f>VLOOKUP($C$6,'Especificações faciais-V'!$A$3:$DK$18,22,0)</f>
        <v>150000</v>
      </c>
      <c r="C32" s="45"/>
      <c r="D32" s="50"/>
    </row>
    <row r="33">
      <c r="A33" s="20" t="s">
        <v>683</v>
      </c>
      <c r="B33" s="46" t="s">
        <v>684</v>
      </c>
      <c r="C33" s="45"/>
    </row>
    <row r="34">
      <c r="A34" s="58" t="s">
        <v>715</v>
      </c>
      <c r="B34" s="46" t="s">
        <v>716</v>
      </c>
      <c r="C34" s="45"/>
    </row>
    <row r="35">
      <c r="A35" s="53"/>
      <c r="B35" s="46" t="s">
        <v>717</v>
      </c>
      <c r="C35" s="45"/>
    </row>
    <row r="36">
      <c r="A36" s="54"/>
      <c r="B36" s="46" t="s">
        <v>718</v>
      </c>
      <c r="C36" s="45"/>
    </row>
    <row r="37">
      <c r="A37" s="20" t="s">
        <v>719</v>
      </c>
      <c r="B37" s="46" t="s">
        <v>720</v>
      </c>
      <c r="C37" s="45"/>
    </row>
    <row r="38">
      <c r="A38" s="20" t="s">
        <v>721</v>
      </c>
      <c r="B38" s="46" t="s">
        <v>722</v>
      </c>
      <c r="C38" s="45"/>
    </row>
    <row r="39">
      <c r="A39" s="58" t="s">
        <v>723</v>
      </c>
      <c r="B39" s="46" t="s">
        <v>724</v>
      </c>
      <c r="C39" s="45"/>
    </row>
    <row r="40">
      <c r="A40" s="53"/>
      <c r="B40" s="46" t="s">
        <v>725</v>
      </c>
      <c r="C40" s="45"/>
    </row>
    <row r="41">
      <c r="A41" s="53"/>
      <c r="B41" s="46" t="s">
        <v>726</v>
      </c>
      <c r="C41" s="45"/>
    </row>
    <row r="42">
      <c r="A42" s="54"/>
      <c r="B42" s="46" t="s">
        <v>727</v>
      </c>
      <c r="C42" s="45"/>
    </row>
    <row r="43">
      <c r="A43" s="58" t="s">
        <v>728</v>
      </c>
      <c r="B43" s="46" t="s">
        <v>729</v>
      </c>
      <c r="C43" s="45"/>
    </row>
    <row r="44">
      <c r="A44" s="53"/>
      <c r="B44" s="46" t="s">
        <v>730</v>
      </c>
      <c r="C44" s="45"/>
    </row>
    <row r="45">
      <c r="A45" s="53"/>
      <c r="B45" s="46" t="s">
        <v>731</v>
      </c>
      <c r="C45" s="45"/>
    </row>
    <row r="46">
      <c r="A46" s="54"/>
      <c r="B46" s="46" t="s">
        <v>732</v>
      </c>
      <c r="C46" s="45"/>
    </row>
    <row r="47">
      <c r="A47" s="20" t="s">
        <v>298</v>
      </c>
      <c r="B47" s="46" t="s">
        <v>733</v>
      </c>
      <c r="C47" s="45"/>
    </row>
    <row r="48">
      <c r="A48" s="58" t="s">
        <v>734</v>
      </c>
      <c r="B48" s="46" t="s">
        <v>735</v>
      </c>
      <c r="C48" s="45"/>
    </row>
    <row r="49">
      <c r="A49" s="53"/>
      <c r="B49" s="46" t="s">
        <v>736</v>
      </c>
      <c r="C49" s="45"/>
    </row>
    <row r="50">
      <c r="A50" s="54"/>
      <c r="B50" s="46" t="s">
        <v>737</v>
      </c>
      <c r="C50" s="45"/>
    </row>
    <row r="51">
      <c r="A51" s="58" t="s">
        <v>738</v>
      </c>
      <c r="B51" s="46" t="s">
        <v>739</v>
      </c>
      <c r="C51" s="45"/>
    </row>
    <row r="52">
      <c r="A52" s="54"/>
      <c r="B52" s="46" t="s">
        <v>740</v>
      </c>
      <c r="C52" s="45"/>
    </row>
    <row r="53">
      <c r="A53" s="20" t="s">
        <v>741</v>
      </c>
      <c r="B53" s="46" t="s">
        <v>742</v>
      </c>
      <c r="C53" s="45"/>
    </row>
    <row r="54">
      <c r="A54" s="20" t="s">
        <v>743</v>
      </c>
      <c r="B54" s="46" t="s">
        <v>744</v>
      </c>
      <c r="C54" s="45"/>
    </row>
    <row r="55">
      <c r="A55" s="20" t="s">
        <v>745</v>
      </c>
      <c r="B55" s="46" t="s">
        <v>746</v>
      </c>
      <c r="C55" s="45"/>
    </row>
    <row r="56">
      <c r="A56" s="58" t="s">
        <v>685</v>
      </c>
      <c r="B56" s="46" t="s">
        <v>686</v>
      </c>
      <c r="C56" s="45"/>
    </row>
    <row r="57">
      <c r="A57" s="53"/>
      <c r="B57" s="46" t="s">
        <v>687</v>
      </c>
      <c r="C57" s="45"/>
    </row>
    <row r="58">
      <c r="A58" s="54"/>
      <c r="B58" s="46" t="s">
        <v>688</v>
      </c>
      <c r="C58" s="45"/>
    </row>
    <row r="59">
      <c r="B59" s="39"/>
    </row>
    <row r="60">
      <c r="A60" s="38" t="s">
        <v>689</v>
      </c>
      <c r="B60" s="39"/>
    </row>
    <row r="61">
      <c r="A61" s="28" t="s">
        <v>747</v>
      </c>
      <c r="B61" s="39"/>
    </row>
    <row r="62">
      <c r="A62" s="28" t="s">
        <v>748</v>
      </c>
      <c r="B62" s="39"/>
    </row>
    <row r="63">
      <c r="A63" s="28" t="s">
        <v>749</v>
      </c>
      <c r="B63" s="39"/>
    </row>
    <row r="64">
      <c r="A64" s="41" t="s">
        <v>750</v>
      </c>
    </row>
    <row r="65">
      <c r="A65" s="40"/>
      <c r="B65" s="39"/>
    </row>
    <row r="66">
      <c r="A66" s="38" t="s">
        <v>694</v>
      </c>
      <c r="B66" s="39"/>
    </row>
    <row r="67">
      <c r="A67" s="28" t="s">
        <v>695</v>
      </c>
      <c r="B67" s="39"/>
    </row>
    <row r="68">
      <c r="A68" s="28" t="s">
        <v>696</v>
      </c>
      <c r="B68" s="39"/>
    </row>
    <row r="69">
      <c r="A69" s="28" t="s">
        <v>697</v>
      </c>
      <c r="B69" s="39"/>
    </row>
    <row r="70">
      <c r="A70" s="28" t="s">
        <v>698</v>
      </c>
      <c r="B70" s="39"/>
    </row>
    <row r="71">
      <c r="A71" s="28" t="s">
        <v>751</v>
      </c>
      <c r="B71" s="39"/>
    </row>
    <row r="72">
      <c r="A72" s="40"/>
      <c r="B72" s="39"/>
    </row>
    <row r="73">
      <c r="A73" s="38" t="s">
        <v>699</v>
      </c>
      <c r="B73" s="39"/>
    </row>
    <row r="74">
      <c r="A74" s="41" t="s">
        <v>752</v>
      </c>
    </row>
    <row r="75">
      <c r="A75" s="40"/>
      <c r="B75" s="39"/>
    </row>
    <row r="76">
      <c r="A76" s="38" t="s">
        <v>701</v>
      </c>
      <c r="B76" s="39"/>
    </row>
    <row r="77">
      <c r="A77" s="41" t="s">
        <v>702</v>
      </c>
    </row>
    <row r="78">
      <c r="A78" s="40"/>
      <c r="B78" s="39"/>
    </row>
    <row r="79">
      <c r="A79" s="38" t="s">
        <v>753</v>
      </c>
      <c r="B79" s="39"/>
    </row>
    <row r="80">
      <c r="A80" s="40"/>
      <c r="B80" s="39"/>
    </row>
    <row r="81">
      <c r="A81" s="38" t="s">
        <v>703</v>
      </c>
      <c r="B81" s="39"/>
    </row>
    <row r="82">
      <c r="A82" s="41" t="s">
        <v>704</v>
      </c>
    </row>
    <row r="83">
      <c r="A83" s="40"/>
      <c r="B83" s="39"/>
    </row>
    <row r="84">
      <c r="A84" s="38" t="s">
        <v>705</v>
      </c>
      <c r="B84" s="39"/>
    </row>
    <row r="85">
      <c r="A85" s="38" t="s">
        <v>754</v>
      </c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A113" s="55" t="s">
        <v>707</v>
      </c>
      <c r="B113" s="39"/>
    </row>
    <row r="114">
      <c r="B114" s="56" t="s">
        <v>708</v>
      </c>
    </row>
    <row r="115">
      <c r="B115" s="56" t="s">
        <v>709</v>
      </c>
    </row>
    <row r="116">
      <c r="B116" s="56" t="s">
        <v>710</v>
      </c>
    </row>
    <row r="117">
      <c r="B117" s="56" t="s">
        <v>711</v>
      </c>
    </row>
    <row r="118">
      <c r="B118" s="57" t="s">
        <v>755</v>
      </c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</sheetData>
  <mergeCells count="56">
    <mergeCell ref="B40:C40"/>
    <mergeCell ref="B43:C43"/>
    <mergeCell ref="B35:C35"/>
    <mergeCell ref="B36:C36"/>
    <mergeCell ref="B37:C37"/>
    <mergeCell ref="B38:C38"/>
    <mergeCell ref="A39:A42"/>
    <mergeCell ref="B39:C39"/>
    <mergeCell ref="A43:A46"/>
    <mergeCell ref="B46:C46"/>
    <mergeCell ref="B47:C47"/>
    <mergeCell ref="A48:A50"/>
    <mergeCell ref="B48:C48"/>
    <mergeCell ref="B49:C49"/>
    <mergeCell ref="B50:C50"/>
    <mergeCell ref="A51:A52"/>
    <mergeCell ref="B51:C51"/>
    <mergeCell ref="B52:C52"/>
    <mergeCell ref="B53:C53"/>
    <mergeCell ref="B54:C54"/>
    <mergeCell ref="B55:C55"/>
    <mergeCell ref="A56:A58"/>
    <mergeCell ref="B56:C56"/>
    <mergeCell ref="A1:C1"/>
    <mergeCell ref="A7:C7"/>
    <mergeCell ref="A10:C1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3:C33"/>
    <mergeCell ref="B34:C34"/>
    <mergeCell ref="B27:C27"/>
    <mergeCell ref="B28:C28"/>
    <mergeCell ref="B29:C29"/>
    <mergeCell ref="B30:C30"/>
    <mergeCell ref="B31:C31"/>
    <mergeCell ref="B32:C32"/>
    <mergeCell ref="A34:A36"/>
    <mergeCell ref="B41:C41"/>
    <mergeCell ref="B42:C42"/>
    <mergeCell ref="B44:C44"/>
    <mergeCell ref="B45:C45"/>
    <mergeCell ref="B57:C57"/>
    <mergeCell ref="B58:C58"/>
    <mergeCell ref="A64:C64"/>
    <mergeCell ref="A74:C74"/>
    <mergeCell ref="A77:C77"/>
    <mergeCell ref="A82:C82"/>
  </mergeCells>
  <dataValidations>
    <dataValidation type="list" allowBlank="1" showErrorMessage="1" sqref="C6">
      <formula1>'Especificações faciais-H'!$B$2:$Q$2</formula1>
    </dataValidation>
  </dataValidations>
  <hyperlinks>
    <hyperlink r:id="rId1" ref="B11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